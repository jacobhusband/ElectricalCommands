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cobH\Documents\dev\ProjectManagement\CircuitBreakerAI\ElectricalPanels\"/>
    </mc:Choice>
  </mc:AlternateContent>
  <xr:revisionPtr revIDLastSave="0" documentId="8_{5DC1D4F7-4406-4BD0-A6DC-0EFFA7F1A8B0}" xr6:coauthVersionLast="47" xr6:coauthVersionMax="47" xr10:uidLastSave="{00000000-0000-0000-0000-000000000000}"/>
  <bookViews>
    <workbookView xWindow="-120" yWindow="-120" windowWidth="29040" windowHeight="15720" tabRatio="765" firstSheet="2" activeTab="2" xr2:uid="{56EFA794-0D73-493F-9917-7C561CADA60E}"/>
  </bookViews>
  <sheets>
    <sheet name="HPT" sheetId="362" state="hidden" r:id="rId1"/>
    <sheet name="A (2)" sheetId="363" state="hidden" r:id="rId2"/>
    <sheet name="TEMPLATE" sheetId="381" r:id="rId3"/>
    <sheet name="_NOTES" sheetId="353" state="hidden" r:id="rId4"/>
    <sheet name="Ax" sheetId="360" state="hidden" r:id="rId5"/>
    <sheet name="Bx" sheetId="361" state="hidden" r:id="rId6"/>
    <sheet name="L109C_NOTUSED" sheetId="355" state="hidden" r:id="rId7"/>
  </sheets>
  <definedNames>
    <definedName name="Spanner_Auto_File">"P:\IKEA\2009246 Centennial, CO\Panels\span 12 files\1PQ.x2a"</definedName>
  </definedNames>
  <calcPr calcId="191029" concurrentCalc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381" l="1"/>
  <c r="M31" i="381"/>
  <c r="Q31" i="381"/>
  <c r="M32" i="381"/>
  <c r="Q32" i="381"/>
  <c r="M33" i="381"/>
  <c r="Q33" i="381"/>
  <c r="M37" i="381"/>
  <c r="Q34" i="381"/>
  <c r="M35" i="381"/>
  <c r="Q35" i="381"/>
  <c r="M36" i="381"/>
  <c r="Q36" i="381"/>
  <c r="Q37" i="381"/>
  <c r="Q38" i="381"/>
  <c r="N38" i="381"/>
  <c r="M34" i="381"/>
  <c r="F30" i="381"/>
  <c r="F31" i="381"/>
  <c r="F32" i="381"/>
  <c r="F33" i="381"/>
  <c r="K28" i="360"/>
  <c r="F32" i="360"/>
  <c r="K27" i="360"/>
  <c r="F31" i="360"/>
  <c r="K26" i="360"/>
  <c r="M32" i="360"/>
  <c r="Q32" i="360"/>
  <c r="M34" i="363"/>
  <c r="Q34" i="363"/>
  <c r="M33" i="363"/>
  <c r="Q33" i="363"/>
  <c r="M31" i="363"/>
  <c r="Q31" i="363"/>
  <c r="I28" i="363"/>
  <c r="I27" i="363"/>
  <c r="K25" i="363"/>
  <c r="I25" i="363"/>
  <c r="K24" i="363"/>
  <c r="K23" i="363"/>
  <c r="I23" i="363"/>
  <c r="K22" i="363"/>
  <c r="K21" i="363"/>
  <c r="K20" i="363"/>
  <c r="I19" i="363"/>
  <c r="K18" i="363"/>
  <c r="K17" i="363"/>
  <c r="I17" i="363"/>
  <c r="U16" i="363"/>
  <c r="K16" i="363"/>
  <c r="I16" i="363"/>
  <c r="U15" i="363"/>
  <c r="K15" i="363"/>
  <c r="I15" i="363"/>
  <c r="U14" i="363"/>
  <c r="K14" i="363"/>
  <c r="I14" i="363"/>
  <c r="U13" i="363"/>
  <c r="I13" i="363"/>
  <c r="U12" i="363"/>
  <c r="K12" i="363"/>
  <c r="U11" i="363"/>
  <c r="K11" i="363"/>
  <c r="I11" i="363"/>
  <c r="U10" i="363"/>
  <c r="K10" i="363"/>
  <c r="I10" i="363"/>
  <c r="I9" i="363"/>
  <c r="U9" i="363"/>
  <c r="M35" i="363"/>
  <c r="I8" i="363"/>
  <c r="I11" i="362"/>
  <c r="I8" i="362"/>
  <c r="I10" i="362"/>
  <c r="K20" i="362"/>
  <c r="K22" i="362"/>
  <c r="I12" i="362"/>
  <c r="M34" i="362"/>
  <c r="Q34" i="362"/>
  <c r="M33" i="362"/>
  <c r="Q33" i="362"/>
  <c r="U16" i="362"/>
  <c r="U15" i="362"/>
  <c r="U14" i="362"/>
  <c r="U13" i="362"/>
  <c r="U12" i="362"/>
  <c r="U11" i="362"/>
  <c r="M31" i="362"/>
  <c r="Q31" i="362"/>
  <c r="M34" i="361"/>
  <c r="M31" i="361"/>
  <c r="Q31" i="361"/>
  <c r="F31" i="361"/>
  <c r="F30" i="361"/>
  <c r="F33" i="361"/>
  <c r="K21" i="361"/>
  <c r="K20" i="361"/>
  <c r="K19" i="361"/>
  <c r="U16" i="361"/>
  <c r="K16" i="361"/>
  <c r="M32" i="361"/>
  <c r="Q32" i="361"/>
  <c r="U15" i="361"/>
  <c r="U14" i="361"/>
  <c r="U13" i="361"/>
  <c r="Q34" i="361"/>
  <c r="U12" i="361"/>
  <c r="U11" i="361"/>
  <c r="K11" i="361"/>
  <c r="M33" i="361"/>
  <c r="Q33" i="361"/>
  <c r="U10" i="361"/>
  <c r="Q35" i="361"/>
  <c r="U9" i="361"/>
  <c r="M35" i="361"/>
  <c r="M34" i="360"/>
  <c r="Q34" i="360"/>
  <c r="I27" i="360"/>
  <c r="I28" i="360"/>
  <c r="K23" i="360"/>
  <c r="I23" i="360"/>
  <c r="K20" i="360"/>
  <c r="K18" i="360"/>
  <c r="K17" i="360"/>
  <c r="U16" i="360"/>
  <c r="K16" i="360"/>
  <c r="U15" i="360"/>
  <c r="U14" i="360"/>
  <c r="K14" i="360"/>
  <c r="U13" i="360"/>
  <c r="I13" i="360"/>
  <c r="U12" i="360"/>
  <c r="K12" i="360"/>
  <c r="I12" i="360"/>
  <c r="M33" i="360"/>
  <c r="Q33" i="360"/>
  <c r="U11" i="360"/>
  <c r="K11" i="360"/>
  <c r="I11" i="360"/>
  <c r="K10" i="360"/>
  <c r="M31" i="360"/>
  <c r="Q31" i="360"/>
  <c r="I9" i="360"/>
  <c r="I8" i="360"/>
  <c r="K12" i="355"/>
  <c r="K13" i="355"/>
  <c r="I9" i="355"/>
  <c r="F31" i="355"/>
  <c r="I8" i="355"/>
  <c r="F30" i="355"/>
  <c r="F33" i="355"/>
  <c r="M34" i="355"/>
  <c r="M31" i="355"/>
  <c r="R31" i="355"/>
  <c r="U16" i="355"/>
  <c r="R34" i="355"/>
  <c r="U15" i="355"/>
  <c r="U14" i="355"/>
  <c r="U13" i="355"/>
  <c r="U12" i="355"/>
  <c r="U11" i="355"/>
  <c r="U10" i="355"/>
  <c r="R35" i="355"/>
  <c r="U9" i="355"/>
  <c r="F32" i="361"/>
  <c r="I24" i="360"/>
  <c r="M32" i="355"/>
  <c r="R32" i="355"/>
  <c r="K21" i="362"/>
  <c r="I9" i="362"/>
  <c r="U10" i="362"/>
  <c r="Q36" i="361"/>
  <c r="Q37" i="361"/>
  <c r="U9" i="360"/>
  <c r="I25" i="360"/>
  <c r="M35" i="355"/>
  <c r="M33" i="355"/>
  <c r="R33" i="355"/>
  <c r="R36" i="355"/>
  <c r="R37" i="355"/>
  <c r="I10" i="360"/>
  <c r="I13" i="362"/>
  <c r="U9" i="362"/>
  <c r="U10" i="360"/>
  <c r="K10" i="362"/>
  <c r="F32" i="362"/>
  <c r="K8" i="362"/>
  <c r="K9" i="362"/>
  <c r="F31" i="362"/>
  <c r="M32" i="362"/>
  <c r="Q32" i="362"/>
  <c r="F30" i="362"/>
  <c r="F33" i="362"/>
  <c r="K28" i="363"/>
  <c r="F32" i="363"/>
  <c r="K27" i="363"/>
  <c r="F31" i="363"/>
  <c r="K26" i="363"/>
  <c r="F30" i="363"/>
  <c r="F33" i="363"/>
  <c r="M32" i="363"/>
  <c r="Q32" i="363"/>
  <c r="Q35" i="362"/>
  <c r="M35" i="360"/>
  <c r="F30" i="360"/>
  <c r="F33" i="360"/>
  <c r="Q36" i="362"/>
  <c r="Q37" i="362"/>
  <c r="Q35" i="363"/>
  <c r="Q36" i="360"/>
  <c r="Q37" i="360"/>
  <c r="Q36" i="363"/>
  <c r="Q37" i="363"/>
  <c r="Q35" i="360"/>
  <c r="M35" i="362"/>
</calcChain>
</file>

<file path=xl/sharedStrings.xml><?xml version="1.0" encoding="utf-8"?>
<sst xmlns="http://schemas.openxmlformats.org/spreadsheetml/2006/main" count="781" uniqueCount="180">
  <si>
    <t>VOLTAGE:</t>
  </si>
  <si>
    <t>WIRE:</t>
  </si>
  <si>
    <t>MOUNTING:</t>
  </si>
  <si>
    <t>NOTES:</t>
  </si>
  <si>
    <t>BUS RATING:</t>
  </si>
  <si>
    <t>PHASE:</t>
  </si>
  <si>
    <t>AIC RATING:</t>
  </si>
  <si>
    <t>MAIN REQUIREMENT:</t>
  </si>
  <si>
    <t>TYPE:</t>
  </si>
  <si>
    <t>CONDITION:</t>
  </si>
  <si>
    <t>NOTES</t>
  </si>
  <si>
    <t>LOAD</t>
  </si>
  <si>
    <t>CB</t>
  </si>
  <si>
    <t>LOAD DESCRIPTION</t>
  </si>
  <si>
    <t>LOAD KVA</t>
  </si>
  <si>
    <t>PHASE</t>
  </si>
  <si>
    <t>P</t>
  </si>
  <si>
    <t>T</t>
  </si>
  <si>
    <t>A</t>
  </si>
  <si>
    <t>C</t>
  </si>
  <si>
    <t>B</t>
  </si>
  <si>
    <t>CONNECTED LOAD:</t>
  </si>
  <si>
    <t>DEMAND LOAD CALCULATION</t>
  </si>
  <si>
    <t>PHASE A</t>
  </si>
  <si>
    <t>KVA</t>
  </si>
  <si>
    <t>DEMAND LOAD</t>
  </si>
  <si>
    <t>SUBTOTAL</t>
  </si>
  <si>
    <t>NEC DEMAND FACTOR</t>
  </si>
  <si>
    <t>PHASE B</t>
  </si>
  <si>
    <t>CONTINUOUS LOAD (C)</t>
  </si>
  <si>
    <t>PHASE C</t>
  </si>
  <si>
    <t>DEDICATED LOAD (D)</t>
  </si>
  <si>
    <t>TOTAL</t>
  </si>
  <si>
    <t>GENERAL RECEPTACLE (G)</t>
  </si>
  <si>
    <t>KITCHEN EQUIPMENT (K)</t>
  </si>
  <si>
    <t>TOTAL DEMAND KVA</t>
  </si>
  <si>
    <t>125% of largest motor load + 100% remaining</t>
  </si>
  <si>
    <t xml:space="preserve">  100% of 1st 10kVA &amp; 50% of remaining</t>
  </si>
  <si>
    <t xml:space="preserve">   LOAD DESCRIPTION</t>
  </si>
  <si>
    <t>CKT#</t>
  </si>
  <si>
    <t>D</t>
  </si>
  <si>
    <t>-</t>
  </si>
  <si>
    <t>100A</t>
  </si>
  <si>
    <t>GFI</t>
  </si>
  <si>
    <t>NEW</t>
  </si>
  <si>
    <t>LO</t>
  </si>
  <si>
    <t>SURFACE</t>
  </si>
  <si>
    <t>MOTOR LOAD (M)/(ML)</t>
  </si>
  <si>
    <t>208Y/120V</t>
  </si>
  <si>
    <t>EWH-1</t>
  </si>
  <si>
    <t>GENERAL NOTES:</t>
  </si>
  <si>
    <t>CIRCUITS ITALICIZED ARE EXISTING TO REMAIN</t>
  </si>
  <si>
    <t>CIRCUIT KEYED NOTES:</t>
  </si>
  <si>
    <t>PROVIDE LOCK "ON" CLAMP DEVICE ON BREAKER</t>
  </si>
  <si>
    <t>PROVIDE BREAKER WITH GROUND FAULT CIRCUIT INTERRUPT</t>
  </si>
  <si>
    <t>PROVIDE UL LISTED HANDLE TIE FOR ALL MULTIWIRE BRANCH CIRCUITS</t>
  </si>
  <si>
    <t>PANEL SCHEDULE NOTES</t>
  </si>
  <si>
    <t>BALANCE PANELS WITHIN 10% PHASE TO PHASE</t>
  </si>
  <si>
    <t>LF</t>
  </si>
  <si>
    <t>PROVIDE LOCK "OFF" CLAMP DEVICE ON BREAKER</t>
  </si>
  <si>
    <t>AMPS @ 208/120V, 3 PHASE, 4WIRE:</t>
  </si>
  <si>
    <t>-----</t>
  </si>
  <si>
    <t>SPARE</t>
  </si>
  <si>
    <t>PANEL 'L109C'</t>
  </si>
  <si>
    <t>RECESSED</t>
  </si>
  <si>
    <t>G</t>
  </si>
  <si>
    <t>SPACE</t>
  </si>
  <si>
    <t>REC - X-RAY ROOM TABLE</t>
  </si>
  <si>
    <t>REC - X-RAY ROOM CONVENIENCE</t>
  </si>
  <si>
    <t>REC - X-RAY ROOM PORTABLE X-RAY</t>
  </si>
  <si>
    <t>100A MLO</t>
  </si>
  <si>
    <t>AMPS @ 208/120V, 1 PHASE, 3WIRE:</t>
  </si>
  <si>
    <t>FIXED X-RAY</t>
  </si>
  <si>
    <t>NEMA 1</t>
  </si>
  <si>
    <t>RCP-1</t>
  </si>
  <si>
    <t>REC - HUB - PRINTER</t>
  </si>
  <si>
    <t>REC - STORAGE - IT RACK</t>
  </si>
  <si>
    <t>REC - STORAGE - TELEBOARD</t>
  </si>
  <si>
    <t>EF-1</t>
  </si>
  <si>
    <t>EF-2</t>
  </si>
  <si>
    <t>REC - ROOF</t>
  </si>
  <si>
    <t>ML</t>
  </si>
  <si>
    <t>M</t>
  </si>
  <si>
    <t>PANEL 'B'</t>
  </si>
  <si>
    <t>REC - SCALE</t>
  </si>
  <si>
    <t>REC - LAB - COUNTER - GFI</t>
  </si>
  <si>
    <t>REC - PHLEBOTOMY - CONVINIENCE</t>
  </si>
  <si>
    <t>REC - HUB - COUNTERTOP - GFI</t>
  </si>
  <si>
    <t>REC - CONSULT - CONVINIENCE</t>
  </si>
  <si>
    <t>REC - LOUNGE - TV + CONVINIENCE</t>
  </si>
  <si>
    <t>REC - LOUNGE - REFRIGERATOR</t>
  </si>
  <si>
    <t>REC - LOUNGE - TOUCLESS FAUCET</t>
  </si>
  <si>
    <t>REC - LOUNGE - COUNTERTOP - GFI</t>
  </si>
  <si>
    <t>REC - LOUNGE - FOOD WASTE DISPOSER</t>
  </si>
  <si>
    <t>400A</t>
  </si>
  <si>
    <t>400A MLO</t>
  </si>
  <si>
    <t>EXISTING</t>
  </si>
  <si>
    <t>SIGNAGE</t>
  </si>
  <si>
    <t>RTU-1</t>
  </si>
  <si>
    <t>RTU-2</t>
  </si>
  <si>
    <t>EF-3</t>
  </si>
  <si>
    <t>REC - HUB - UC FRIDGE</t>
  </si>
  <si>
    <t>REC - HUB - TABLE</t>
  </si>
  <si>
    <t>REC - HUB - DESK</t>
  </si>
  <si>
    <t>REC - PHLEBOTOMY - COUNTERTOP - GFI</t>
  </si>
  <si>
    <t>REC - LAB - UC FRIDGE</t>
  </si>
  <si>
    <t>REC - LAB - CONVINIENCE</t>
  </si>
  <si>
    <t>REC - LOUNGE - DISHWASHER</t>
  </si>
  <si>
    <t>REC - STORAGE - CONVINIENCE</t>
  </si>
  <si>
    <t>REC - EVS - CONVINIENCE</t>
  </si>
  <si>
    <t xml:space="preserve">PANEL 'B'
</t>
  </si>
  <si>
    <r>
      <rPr>
        <b/>
        <sz val="12"/>
        <rFont val="Arial Narrow"/>
        <family val="2"/>
      </rPr>
      <t>PANEL 'A'</t>
    </r>
    <r>
      <rPr>
        <b/>
        <sz val="12"/>
        <color indexed="23"/>
        <rFont val="Arial Narrow"/>
        <family val="2"/>
      </rPr>
      <t xml:space="preserve">
(RL)PNL 'PC166'</t>
    </r>
  </si>
  <si>
    <t>REC - SHOW WINDOW</t>
  </si>
  <si>
    <t>REC - LOBBY - TV + CONVINIENCE</t>
  </si>
  <si>
    <t>REC - LOBBY - CHECKIN TABLE</t>
  </si>
  <si>
    <t>LTG - HUB, CORRIDORS</t>
  </si>
  <si>
    <t>REC - LOBBY - DESK + CONVINIENCE</t>
  </si>
  <si>
    <t>REC - URGENT #1, #2 - GFI</t>
  </si>
  <si>
    <t>REC - URGENT #1, #2 - TV + BACKWALL</t>
  </si>
  <si>
    <t>REC - URGENT #3, PRIMARY - GFI</t>
  </si>
  <si>
    <t>REC - URGENT #3, PRIMARY - TV + BACKWALL</t>
  </si>
  <si>
    <t>REC - URGENT #4 - GFI</t>
  </si>
  <si>
    <t>REC - URGENT #1, #2 - CONVENIENCE</t>
  </si>
  <si>
    <t>REC - URGENT #4 - TV + BACKWALL</t>
  </si>
  <si>
    <t>REC - URGENT #3, #4, PRIMARY - CONVENIENCE</t>
  </si>
  <si>
    <t>LTG - URGENT #3 - #4, PRIM, RR, EVS, STO, LOUNGE, CONS</t>
  </si>
  <si>
    <t>LTG - LOBBY, RR, PHLEBO, LAB, URGENT #1 - #2</t>
  </si>
  <si>
    <t>REC - URGENT #1, #2, #3, #4 - TOUCLESS FAUCET</t>
  </si>
  <si>
    <t>REC - RESTRMS, HUB, PRIMARY - TOUCLESS FAUCET</t>
  </si>
  <si>
    <t>75kVA TRANSFORMER</t>
  </si>
  <si>
    <t>480Y/277V</t>
  </si>
  <si>
    <t>AMPS @ 480Y/277V, 3 PHASE, 4WIRE:</t>
  </si>
  <si>
    <t>LTG - RECEPTION, WAITING, CORRIDOR</t>
  </si>
  <si>
    <t>LTG - RIGHT SIDE ROOMS</t>
  </si>
  <si>
    <t>LTG - LEFT SIDE ROOMS</t>
  </si>
  <si>
    <t>REC - LOBBY - TV + CONVENIENCE</t>
  </si>
  <si>
    <t>REC - LOUNGE - TV + CONVENIENCE</t>
  </si>
  <si>
    <t>REC - LOUNGE - TOUCHLESS FAUCET</t>
  </si>
  <si>
    <r>
      <rPr>
        <b/>
        <sz val="12"/>
        <rFont val="Arial Narrow"/>
        <family val="2"/>
      </rPr>
      <t>(E) PANEL 'HTP'</t>
    </r>
    <r>
      <rPr>
        <b/>
        <sz val="12"/>
        <color indexed="23"/>
        <rFont val="Arial Narrow"/>
        <family val="2"/>
      </rPr>
      <t xml:space="preserve">
</t>
    </r>
  </si>
  <si>
    <t>CU-1</t>
  </si>
  <si>
    <t>FC-1</t>
  </si>
  <si>
    <t>BF-1</t>
  </si>
  <si>
    <t>REC - LOUNGE - MICROWAVE</t>
  </si>
  <si>
    <t>WIRELESS HUB &amp; TIMECLOCK</t>
  </si>
  <si>
    <t>225A</t>
  </si>
  <si>
    <t>EXIST</t>
  </si>
  <si>
    <t>200A MLO</t>
  </si>
  <si>
    <t>REC - URGENT #3, #4, STAFF RR, PRIM #1, #3 - TL FAUCET</t>
  </si>
  <si>
    <t>REC - CORRIDOR - CONVENIENCE</t>
  </si>
  <si>
    <t xml:space="preserve">REC - LOUNGE - FRIDGE </t>
  </si>
  <si>
    <t>REC - LOUNGE - MICROWAVE CABINET</t>
  </si>
  <si>
    <t>REC - PATIENT RR, PHLEB, HUB,  URGENT #1, #2 - TL FAUCET</t>
  </si>
  <si>
    <t>REC - LOUNGE - CONVENIENCE - GFI</t>
  </si>
  <si>
    <t xml:space="preserve">REC - URGENT #1, #2 - TV </t>
  </si>
  <si>
    <t>REC - URGENT #3, #4 - CONVENIENCE</t>
  </si>
  <si>
    <t>REC - URGENT #3, 4 - TV</t>
  </si>
  <si>
    <t>REC - PRIMARY #1, #2 - CONVENIENCE</t>
  </si>
  <si>
    <t>REC - PRIMARY #3, #4 - CONVENIENCE</t>
  </si>
  <si>
    <t>REC - PRIMARY #3, #4 - GFI</t>
  </si>
  <si>
    <t xml:space="preserve">REC - PRIMARY #1, #2 - TV </t>
  </si>
  <si>
    <t>REC - URGENT #1,#2,#3, #4 - GFI</t>
  </si>
  <si>
    <t>REC - PRIMARY #1,#2,#3, #4 - GFI</t>
  </si>
  <si>
    <t>200A</t>
  </si>
  <si>
    <r>
      <rPr>
        <b/>
        <sz val="12"/>
        <rFont val="Arial Narrow"/>
        <family val="2"/>
      </rPr>
      <t>(E)PANEL 'A'</t>
    </r>
    <r>
      <rPr>
        <b/>
        <sz val="12"/>
        <color indexed="23"/>
        <rFont val="Arial Narrow"/>
        <family val="2"/>
      </rPr>
      <t xml:space="preserve">
</t>
    </r>
  </si>
  <si>
    <t>120/208V</t>
  </si>
  <si>
    <t xml:space="preserve"> MLO</t>
  </si>
  <si>
    <t xml:space="preserve">(E) PANEL "A"
</t>
  </si>
  <si>
    <t>FED FROM MAIN</t>
  </si>
  <si>
    <t>SERVICE</t>
  </si>
  <si>
    <t>1. EXISTING C/B WITH EXISTING LOAD.</t>
  </si>
  <si>
    <t>2. EXISTING C/B WITH NEW LOAD.</t>
  </si>
  <si>
    <t>3. NEW C/B WITH NEW LOAD.</t>
  </si>
  <si>
    <t>SUB PANEL 1</t>
  </si>
  <si>
    <t>SUB PANEL 2</t>
  </si>
  <si>
    <t>SUB PANEL 3</t>
  </si>
  <si>
    <t>MOTOR LOAD (M)</t>
  </si>
  <si>
    <t>100% of motor load</t>
  </si>
  <si>
    <t>125% of largest motor load</t>
  </si>
  <si>
    <t>NUMBER OF KITCHEN EQUIP.</t>
  </si>
  <si>
    <t>LARGEST MOTOR LOAD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</si>
</sst>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Arial"/>
      <family val="2"/>
    </font>
    <font>
      <sz val="8"/>
      <name val="Arial Narrow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name val="Arial Narrow"/>
      <family val="2"/>
    </font>
    <font>
      <i/>
      <sz val="10"/>
      <name val="Arial Narrow"/>
      <family val="2"/>
    </font>
    <font>
      <b/>
      <sz val="12"/>
      <color indexed="23"/>
      <name val="Arial Narrow"/>
      <family val="2"/>
    </font>
    <font>
      <sz val="8"/>
      <color rgb="FFFF0000"/>
      <name val="Arial Narrow"/>
      <family val="2"/>
    </font>
    <font>
      <sz val="8"/>
      <color theme="0" tint="-0.499984740745262"/>
      <name val="Arial Narrow"/>
      <family val="2"/>
    </font>
    <font>
      <b/>
      <sz val="8"/>
      <color theme="0" tint="-0.499984740745262"/>
      <name val="Arial Narrow"/>
      <family val="2"/>
    </font>
    <font>
      <b/>
      <sz val="8"/>
      <color rgb="FFFF0000"/>
      <name val="Arial Narrow"/>
      <family val="2"/>
    </font>
    <font>
      <i/>
      <sz val="8"/>
      <color theme="1" tint="0.499984740745262"/>
      <name val="Arial Narrow"/>
      <family val="2"/>
    </font>
    <font>
      <sz val="8"/>
      <color theme="1" tint="0.499984740745262"/>
      <name val="Arial Narrow"/>
      <family val="2"/>
    </font>
    <font>
      <i/>
      <sz val="8"/>
      <color theme="0" tint="-0.34998626667073579"/>
      <name val="Arial Narrow"/>
      <family val="2"/>
    </font>
    <font>
      <b/>
      <sz val="8"/>
      <color rgb="FF000000"/>
      <name val="Arial Narrow"/>
      <family val="2"/>
    </font>
    <font>
      <i/>
      <sz val="8"/>
      <color rgb="FFA6A6A6"/>
      <name val="Arial Narrow"/>
      <family val="2"/>
    </font>
    <font>
      <b/>
      <sz val="12"/>
      <color theme="1" tint="0.49998474074526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91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left"/>
    </xf>
    <xf numFmtId="0" fontId="3" fillId="0" borderId="2" xfId="1" applyFont="1" applyBorder="1" applyAlignment="1">
      <alignment horizontal="centerContinuous"/>
    </xf>
    <xf numFmtId="0" fontId="2" fillId="0" borderId="2" xfId="1" applyFont="1" applyBorder="1" applyAlignment="1">
      <alignment horizontal="right"/>
    </xf>
    <xf numFmtId="0" fontId="2" fillId="0" borderId="3" xfId="1" applyFont="1" applyBorder="1" applyAlignment="1">
      <alignment horizontal="center"/>
    </xf>
    <xf numFmtId="0" fontId="2" fillId="0" borderId="2" xfId="1" applyFont="1" applyBorder="1"/>
    <xf numFmtId="0" fontId="2" fillId="0" borderId="2" xfId="1" applyFont="1" applyBorder="1" applyAlignment="1">
      <alignment horizontal="center"/>
    </xf>
    <xf numFmtId="0" fontId="2" fillId="0" borderId="2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right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left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2" fontId="9" fillId="0" borderId="0" xfId="1" applyNumberFormat="1" applyFont="1"/>
    <xf numFmtId="0" fontId="2" fillId="0" borderId="5" xfId="1" applyFont="1" applyBorder="1" applyAlignment="1">
      <alignment horizontal="left"/>
    </xf>
    <xf numFmtId="0" fontId="2" fillId="0" borderId="8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9" xfId="1" applyFont="1" applyBorder="1"/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 textRotation="90"/>
    </xf>
    <xf numFmtId="0" fontId="2" fillId="0" borderId="2" xfId="1" applyFont="1" applyBorder="1" applyAlignment="1">
      <alignment horizontal="center" textRotation="90"/>
    </xf>
    <xf numFmtId="0" fontId="2" fillId="0" borderId="12" xfId="1" applyFont="1" applyBorder="1" applyAlignment="1">
      <alignment horizontal="center" textRotation="90"/>
    </xf>
    <xf numFmtId="0" fontId="2" fillId="0" borderId="13" xfId="1" applyFont="1" applyBorder="1" applyAlignment="1">
      <alignment horizontal="right"/>
    </xf>
    <xf numFmtId="0" fontId="2" fillId="0" borderId="14" xfId="1" applyFont="1" applyBorder="1" applyAlignment="1">
      <alignment horizontal="center"/>
    </xf>
    <xf numFmtId="0" fontId="5" fillId="0" borderId="2" xfId="1" applyFont="1" applyBorder="1" applyAlignment="1">
      <alignment horizontal="left"/>
    </xf>
    <xf numFmtId="0" fontId="5" fillId="0" borderId="2" xfId="1" applyFont="1" applyBorder="1" applyAlignment="1">
      <alignment horizontal="centerContinuous"/>
    </xf>
    <xf numFmtId="0" fontId="5" fillId="0" borderId="2" xfId="1" applyFont="1" applyBorder="1" applyAlignment="1">
      <alignment horizontal="center"/>
    </xf>
    <xf numFmtId="0" fontId="2" fillId="0" borderId="13" xfId="1" applyFont="1" applyBorder="1" applyAlignment="1">
      <alignment horizontal="center" wrapText="1"/>
    </xf>
    <xf numFmtId="0" fontId="2" fillId="0" borderId="14" xfId="1" applyFont="1" applyBorder="1" applyAlignment="1">
      <alignment horizontal="center" wrapText="1"/>
    </xf>
    <xf numFmtId="0" fontId="2" fillId="0" borderId="15" xfId="1" applyFont="1" applyBorder="1" applyAlignment="1">
      <alignment horizontal="center" textRotation="90"/>
    </xf>
    <xf numFmtId="0" fontId="2" fillId="0" borderId="16" xfId="1" applyFont="1" applyBorder="1" applyAlignment="1">
      <alignment horizontal="center" textRotation="90"/>
    </xf>
    <xf numFmtId="0" fontId="2" fillId="0" borderId="9" xfId="1" applyFont="1" applyBorder="1" applyAlignment="1">
      <alignment horizontal="center" textRotation="90"/>
    </xf>
    <xf numFmtId="0" fontId="2" fillId="0" borderId="17" xfId="1" applyFont="1" applyBorder="1" applyAlignment="1">
      <alignment horizontal="center" textRotation="90"/>
    </xf>
    <xf numFmtId="0" fontId="2" fillId="0" borderId="18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5" fillId="0" borderId="18" xfId="1" applyFont="1" applyBorder="1" applyAlignment="1">
      <alignment horizontal="centerContinuous"/>
    </xf>
    <xf numFmtId="0" fontId="5" fillId="0" borderId="9" xfId="1" applyFont="1" applyBorder="1" applyAlignment="1">
      <alignment horizontal="centerContinuous"/>
    </xf>
    <xf numFmtId="0" fontId="5" fillId="0" borderId="19" xfId="1" applyFont="1" applyBorder="1" applyAlignment="1">
      <alignment horizontal="center"/>
    </xf>
    <xf numFmtId="0" fontId="2" fillId="0" borderId="18" xfId="1" applyFont="1" applyBorder="1" applyAlignment="1">
      <alignment horizontal="center" wrapText="1"/>
    </xf>
    <xf numFmtId="0" fontId="2" fillId="0" borderId="19" xfId="1" applyFont="1" applyBorder="1" applyAlignment="1">
      <alignment horizontal="center" wrapText="1"/>
    </xf>
    <xf numFmtId="0" fontId="5" fillId="0" borderId="19" xfId="1" applyFont="1" applyBorder="1" applyAlignment="1">
      <alignment horizontal="centerContinuous"/>
    </xf>
    <xf numFmtId="0" fontId="2" fillId="0" borderId="20" xfId="1" applyFont="1" applyBorder="1" applyAlignment="1">
      <alignment horizontal="center" textRotation="90"/>
    </xf>
    <xf numFmtId="0" fontId="2" fillId="0" borderId="21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5" xfId="1" applyFont="1" applyBorder="1" applyAlignment="1">
      <alignment horizontal="center"/>
    </xf>
    <xf numFmtId="2" fontId="9" fillId="0" borderId="0" xfId="1" applyNumberFormat="1" applyFont="1" applyProtection="1">
      <protection hidden="1"/>
    </xf>
    <xf numFmtId="0" fontId="2" fillId="0" borderId="24" xfId="0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26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2" fontId="2" fillId="0" borderId="0" xfId="1" applyNumberFormat="1" applyFont="1"/>
    <xf numFmtId="0" fontId="2" fillId="0" borderId="28" xfId="1" applyFont="1" applyBorder="1" applyAlignment="1">
      <alignment horizontal="center"/>
    </xf>
    <xf numFmtId="0" fontId="2" fillId="0" borderId="29" xfId="1" applyFont="1" applyBorder="1" applyAlignment="1">
      <alignment horizontal="center"/>
    </xf>
    <xf numFmtId="0" fontId="2" fillId="0" borderId="6" xfId="1" applyFont="1" applyBorder="1" applyAlignment="1">
      <alignment horizontal="centerContinuous"/>
    </xf>
    <xf numFmtId="0" fontId="2" fillId="0" borderId="30" xfId="1" applyFont="1" applyBorder="1" applyAlignment="1">
      <alignment horizontal="left"/>
    </xf>
    <xf numFmtId="0" fontId="2" fillId="0" borderId="0" xfId="1" applyFont="1" applyAlignment="1">
      <alignment horizontal="left"/>
    </xf>
    <xf numFmtId="2" fontId="2" fillId="0" borderId="6" xfId="1" applyNumberFormat="1" applyFont="1" applyBorder="1" applyAlignment="1">
      <alignment horizontal="center"/>
    </xf>
    <xf numFmtId="0" fontId="2" fillId="0" borderId="31" xfId="1" applyFont="1" applyBorder="1" applyAlignment="1">
      <alignment horizontal="left"/>
    </xf>
    <xf numFmtId="0" fontId="2" fillId="0" borderId="5" xfId="1" applyFont="1" applyBorder="1" applyAlignment="1">
      <alignment horizontal="centerContinuous"/>
    </xf>
    <xf numFmtId="0" fontId="2" fillId="0" borderId="32" xfId="1" applyFont="1" applyBorder="1" applyAlignment="1">
      <alignment horizontal="centerContinuous"/>
    </xf>
    <xf numFmtId="0" fontId="2" fillId="0" borderId="32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2" fontId="2" fillId="0" borderId="5" xfId="1" applyNumberFormat="1" applyFont="1" applyBorder="1" applyAlignment="1">
      <alignment horizontal="center"/>
    </xf>
    <xf numFmtId="2" fontId="2" fillId="0" borderId="34" xfId="1" applyNumberFormat="1" applyFont="1" applyBorder="1" applyAlignment="1">
      <alignment horizontal="center"/>
    </xf>
    <xf numFmtId="9" fontId="2" fillId="0" borderId="35" xfId="1" applyNumberFormat="1" applyFont="1" applyBorder="1" applyAlignment="1">
      <alignment horizontal="center"/>
    </xf>
    <xf numFmtId="9" fontId="2" fillId="0" borderId="0" xfId="1" applyNumberFormat="1" applyFont="1" applyAlignment="1">
      <alignment horizontal="centerContinuous"/>
    </xf>
    <xf numFmtId="9" fontId="2" fillId="0" borderId="31" xfId="1" applyNumberFormat="1" applyFont="1" applyBorder="1" applyAlignment="1">
      <alignment horizontal="centerContinuous"/>
    </xf>
    <xf numFmtId="2" fontId="2" fillId="0" borderId="0" xfId="1" applyNumberFormat="1" applyFont="1" applyAlignment="1">
      <alignment horizontal="centerContinuous"/>
    </xf>
    <xf numFmtId="2" fontId="2" fillId="0" borderId="36" xfId="1" applyNumberFormat="1" applyFont="1" applyBorder="1" applyAlignment="1">
      <alignment horizontal="centerContinuous"/>
    </xf>
    <xf numFmtId="2" fontId="2" fillId="0" borderId="31" xfId="1" applyNumberFormat="1" applyFont="1" applyBorder="1" applyAlignment="1">
      <alignment horizontal="center"/>
    </xf>
    <xf numFmtId="0" fontId="2" fillId="0" borderId="35" xfId="1" applyFont="1" applyBorder="1" applyAlignment="1">
      <alignment horizontal="left"/>
    </xf>
    <xf numFmtId="0" fontId="2" fillId="0" borderId="0" xfId="1" applyFont="1" applyAlignment="1">
      <alignment horizontal="centerContinuous"/>
    </xf>
    <xf numFmtId="0" fontId="2" fillId="0" borderId="31" xfId="1" applyFont="1" applyBorder="1" applyAlignment="1">
      <alignment horizontal="centerContinuous"/>
    </xf>
    <xf numFmtId="0" fontId="2" fillId="0" borderId="30" xfId="1" applyFont="1" applyBorder="1" applyAlignment="1">
      <alignment horizontal="center"/>
    </xf>
    <xf numFmtId="0" fontId="2" fillId="0" borderId="37" xfId="1" applyFont="1" applyBorder="1" applyAlignment="1">
      <alignment horizontal="left"/>
    </xf>
    <xf numFmtId="2" fontId="2" fillId="0" borderId="37" xfId="1" applyNumberFormat="1" applyFont="1" applyBorder="1" applyAlignment="1">
      <alignment horizontal="center"/>
    </xf>
    <xf numFmtId="0" fontId="2" fillId="0" borderId="38" xfId="1" applyFont="1" applyBorder="1" applyAlignment="1">
      <alignment horizontal="left"/>
    </xf>
    <xf numFmtId="0" fontId="2" fillId="0" borderId="37" xfId="1" applyFont="1" applyBorder="1" applyAlignment="1">
      <alignment horizontal="centerContinuous"/>
    </xf>
    <xf numFmtId="0" fontId="2" fillId="0" borderId="38" xfId="1" applyFont="1" applyBorder="1" applyAlignment="1">
      <alignment horizontal="center"/>
    </xf>
    <xf numFmtId="2" fontId="2" fillId="0" borderId="6" xfId="1" applyNumberFormat="1" applyFont="1" applyBorder="1" applyAlignment="1">
      <alignment horizontal="centerContinuous"/>
    </xf>
    <xf numFmtId="2" fontId="2" fillId="0" borderId="7" xfId="1" applyNumberFormat="1" applyFont="1" applyBorder="1" applyAlignment="1">
      <alignment horizontal="centerContinuous"/>
    </xf>
    <xf numFmtId="0" fontId="2" fillId="0" borderId="39" xfId="1" applyFont="1" applyBorder="1" applyAlignment="1">
      <alignment horizontal="center"/>
    </xf>
    <xf numFmtId="2" fontId="5" fillId="0" borderId="40" xfId="1" applyNumberFormat="1" applyFont="1" applyBorder="1" applyAlignment="1">
      <alignment horizontal="centerContinuous"/>
    </xf>
    <xf numFmtId="2" fontId="5" fillId="0" borderId="41" xfId="1" applyNumberFormat="1" applyFont="1" applyBorder="1" applyAlignment="1">
      <alignment horizontal="centerContinuous"/>
    </xf>
    <xf numFmtId="0" fontId="2" fillId="0" borderId="42" xfId="1" applyFont="1" applyBorder="1" applyAlignment="1">
      <alignment horizontal="center"/>
    </xf>
    <xf numFmtId="0" fontId="2" fillId="0" borderId="9" xfId="1" applyFont="1" applyBorder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left"/>
    </xf>
    <xf numFmtId="2" fontId="5" fillId="0" borderId="0" xfId="1" applyNumberFormat="1" applyFont="1" applyAlignment="1">
      <alignment horizontal="center"/>
    </xf>
    <xf numFmtId="0" fontId="4" fillId="0" borderId="30" xfId="1" applyFont="1" applyBorder="1" applyAlignment="1">
      <alignment horizontal="left"/>
    </xf>
    <xf numFmtId="0" fontId="3" fillId="0" borderId="0" xfId="1" applyFont="1" applyAlignment="1">
      <alignment horizontal="centerContinuous"/>
    </xf>
    <xf numFmtId="3" fontId="2" fillId="0" borderId="5" xfId="1" applyNumberFormat="1" applyFont="1" applyBorder="1" applyAlignment="1">
      <alignment horizontal="center"/>
    </xf>
    <xf numFmtId="0" fontId="2" fillId="0" borderId="43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3" fontId="2" fillId="0" borderId="6" xfId="1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2" fontId="9" fillId="0" borderId="32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42" xfId="1" applyFont="1" applyBorder="1" applyAlignment="1">
      <alignment horizontal="left"/>
    </xf>
    <xf numFmtId="0" fontId="2" fillId="0" borderId="45" xfId="0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46" xfId="1" applyFont="1" applyBorder="1" applyAlignment="1">
      <alignment horizontal="left"/>
    </xf>
    <xf numFmtId="0" fontId="2" fillId="0" borderId="3" xfId="1" applyFont="1" applyBorder="1" applyAlignment="1">
      <alignment horizontal="centerContinuous"/>
    </xf>
    <xf numFmtId="0" fontId="5" fillId="0" borderId="14" xfId="1" applyFont="1" applyBorder="1" applyAlignment="1">
      <alignment horizontal="centerContinuous"/>
    </xf>
    <xf numFmtId="0" fontId="5" fillId="0" borderId="3" xfId="1" applyFont="1" applyBorder="1" applyAlignment="1">
      <alignment horizontal="centerContinuous"/>
    </xf>
    <xf numFmtId="0" fontId="5" fillId="0" borderId="3" xfId="1" applyFont="1" applyBorder="1" applyAlignment="1">
      <alignment horizontal="center"/>
    </xf>
    <xf numFmtId="0" fontId="5" fillId="0" borderId="47" xfId="1" applyFont="1" applyBorder="1" applyAlignment="1">
      <alignment horizontal="centerContinuous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43" xfId="0" applyFont="1" applyBorder="1"/>
    <xf numFmtId="0" fontId="6" fillId="0" borderId="23" xfId="0" applyFont="1" applyBorder="1"/>
    <xf numFmtId="0" fontId="6" fillId="0" borderId="23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33" xfId="0" quotePrefix="1" applyFont="1" applyBorder="1"/>
    <xf numFmtId="0" fontId="10" fillId="0" borderId="5" xfId="0" applyFont="1" applyBorder="1" applyAlignment="1">
      <alignment horizontal="left"/>
    </xf>
    <xf numFmtId="2" fontId="10" fillId="0" borderId="33" xfId="0" applyNumberFormat="1" applyFont="1" applyBorder="1" applyAlignment="1">
      <alignment horizontal="center"/>
    </xf>
    <xf numFmtId="2" fontId="10" fillId="0" borderId="24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4" xfId="1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2" fontId="10" fillId="0" borderId="32" xfId="0" applyNumberFormat="1" applyFont="1" applyBorder="1" applyAlignment="1">
      <alignment horizontal="center"/>
    </xf>
    <xf numFmtId="0" fontId="10" fillId="0" borderId="33" xfId="0" quotePrefix="1" applyFont="1" applyBorder="1" applyAlignment="1">
      <alignment horizontal="left"/>
    </xf>
    <xf numFmtId="0" fontId="10" fillId="0" borderId="5" xfId="0" quotePrefix="1" applyFont="1" applyBorder="1" applyAlignment="1">
      <alignment horizontal="left"/>
    </xf>
    <xf numFmtId="0" fontId="10" fillId="0" borderId="32" xfId="0" quotePrefix="1" applyFont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10" fillId="0" borderId="38" xfId="0" quotePrefix="1" applyFont="1" applyBorder="1" applyAlignment="1">
      <alignment horizontal="left"/>
    </xf>
    <xf numFmtId="0" fontId="10" fillId="0" borderId="6" xfId="0" quotePrefix="1" applyFont="1" applyBorder="1" applyAlignment="1">
      <alignment horizontal="left"/>
    </xf>
    <xf numFmtId="0" fontId="10" fillId="0" borderId="37" xfId="0" quotePrefix="1" applyFont="1" applyBorder="1" applyAlignment="1">
      <alignment horizontal="left"/>
    </xf>
    <xf numFmtId="2" fontId="10" fillId="0" borderId="37" xfId="0" applyNumberFormat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2" fontId="10" fillId="0" borderId="24" xfId="1" applyNumberFormat="1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2" fontId="10" fillId="0" borderId="48" xfId="0" applyNumberFormat="1" applyFont="1" applyBorder="1" applyAlignment="1">
      <alignment horizontal="center"/>
    </xf>
    <xf numFmtId="2" fontId="10" fillId="0" borderId="28" xfId="1" applyNumberFormat="1" applyFont="1" applyBorder="1" applyAlignment="1">
      <alignment horizontal="center"/>
    </xf>
    <xf numFmtId="0" fontId="10" fillId="0" borderId="48" xfId="1" quotePrefix="1" applyFont="1" applyBorder="1"/>
    <xf numFmtId="0" fontId="10" fillId="0" borderId="49" xfId="1" applyFont="1" applyBorder="1" applyAlignment="1">
      <alignment horizontal="left"/>
    </xf>
    <xf numFmtId="0" fontId="10" fillId="0" borderId="28" xfId="1" applyFont="1" applyBorder="1" applyAlignment="1">
      <alignment horizontal="center"/>
    </xf>
    <xf numFmtId="0" fontId="10" fillId="0" borderId="49" xfId="1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2" fontId="9" fillId="0" borderId="24" xfId="0" applyNumberFormat="1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9" fillId="0" borderId="23" xfId="1" applyFont="1" applyBorder="1" applyAlignment="1">
      <alignment horizontal="center"/>
    </xf>
    <xf numFmtId="2" fontId="9" fillId="0" borderId="24" xfId="1" applyNumberFormat="1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2" fontId="9" fillId="0" borderId="34" xfId="0" applyNumberFormat="1" applyFont="1" applyBorder="1" applyAlignment="1">
      <alignment horizontal="center"/>
    </xf>
    <xf numFmtId="0" fontId="9" fillId="0" borderId="43" xfId="1" applyFont="1" applyBorder="1" applyAlignment="1">
      <alignment horizontal="center"/>
    </xf>
    <xf numFmtId="0" fontId="9" fillId="0" borderId="50" xfId="1" applyFont="1" applyBorder="1" applyAlignment="1">
      <alignment horizontal="center"/>
    </xf>
    <xf numFmtId="2" fontId="9" fillId="0" borderId="28" xfId="1" applyNumberFormat="1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2" fontId="9" fillId="0" borderId="52" xfId="0" applyNumberFormat="1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2" fontId="2" fillId="0" borderId="34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2" fontId="2" fillId="0" borderId="51" xfId="1" applyNumberFormat="1" applyFont="1" applyBorder="1" applyAlignment="1">
      <alignment horizontal="center"/>
    </xf>
    <xf numFmtId="0" fontId="2" fillId="0" borderId="21" xfId="1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2" fillId="0" borderId="23" xfId="1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43" xfId="0" applyFont="1" applyFill="1" applyBorder="1" applyAlignment="1">
      <alignment horizontal="center"/>
    </xf>
    <xf numFmtId="0" fontId="9" fillId="0" borderId="26" xfId="0" applyFont="1" applyFill="1" applyBorder="1" applyAlignment="1">
      <alignment horizontal="center"/>
    </xf>
    <xf numFmtId="0" fontId="2" fillId="0" borderId="50" xfId="0" applyFont="1" applyFill="1" applyBorder="1" applyAlignment="1">
      <alignment horizontal="center"/>
    </xf>
    <xf numFmtId="0" fontId="2" fillId="0" borderId="45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53" xfId="1" applyFont="1" applyFill="1" applyBorder="1" applyAlignment="1">
      <alignment horizontal="center"/>
    </xf>
    <xf numFmtId="0" fontId="2" fillId="0" borderId="25" xfId="1" applyFont="1" applyFill="1" applyBorder="1" applyAlignment="1">
      <alignment horizontal="center"/>
    </xf>
    <xf numFmtId="0" fontId="2" fillId="0" borderId="24" xfId="1" applyFont="1" applyFill="1" applyBorder="1" applyAlignment="1">
      <alignment horizontal="center"/>
    </xf>
    <xf numFmtId="0" fontId="2" fillId="0" borderId="5" xfId="0" quotePrefix="1" applyFont="1" applyFill="1" applyBorder="1" applyAlignment="1">
      <alignment horizontal="center"/>
    </xf>
    <xf numFmtId="0" fontId="2" fillId="0" borderId="27" xfId="1" applyFont="1" applyFill="1" applyBorder="1" applyAlignment="1">
      <alignment horizontal="center"/>
    </xf>
    <xf numFmtId="0" fontId="2" fillId="0" borderId="26" xfId="1" applyFont="1" applyFill="1" applyBorder="1" applyAlignment="1">
      <alignment horizontal="center"/>
    </xf>
    <xf numFmtId="0" fontId="2" fillId="0" borderId="45" xfId="1" applyFont="1" applyFill="1" applyBorder="1" applyAlignment="1">
      <alignment horizontal="center"/>
    </xf>
    <xf numFmtId="0" fontId="2" fillId="0" borderId="0" xfId="1" applyFont="1" applyFill="1" applyAlignment="1">
      <alignment horizontal="center"/>
    </xf>
    <xf numFmtId="2" fontId="2" fillId="0" borderId="32" xfId="0" applyNumberFormat="1" applyFont="1" applyFill="1" applyBorder="1" applyAlignment="1">
      <alignment horizontal="center"/>
    </xf>
    <xf numFmtId="2" fontId="2" fillId="0" borderId="24" xfId="1" applyNumberFormat="1" applyFont="1" applyFill="1" applyBorder="1" applyAlignment="1">
      <alignment horizontal="center"/>
    </xf>
    <xf numFmtId="2" fontId="2" fillId="0" borderId="24" xfId="0" quotePrefix="1" applyNumberFormat="1" applyFont="1" applyFill="1" applyBorder="1" applyAlignment="1">
      <alignment horizontal="center"/>
    </xf>
    <xf numFmtId="2" fontId="2" fillId="0" borderId="24" xfId="0" applyNumberFormat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/>
    </xf>
    <xf numFmtId="2" fontId="2" fillId="0" borderId="33" xfId="0" applyNumberFormat="1" applyFont="1" applyFill="1" applyBorder="1" applyAlignment="1">
      <alignment horizontal="center"/>
    </xf>
    <xf numFmtId="0" fontId="2" fillId="0" borderId="43" xfId="1" applyFont="1" applyFill="1" applyBorder="1" applyAlignment="1">
      <alignment horizontal="center"/>
    </xf>
    <xf numFmtId="2" fontId="2" fillId="0" borderId="34" xfId="0" applyNumberFormat="1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2" fontId="2" fillId="0" borderId="32" xfId="0" quotePrefix="1" applyNumberFormat="1" applyFont="1" applyFill="1" applyBorder="1" applyAlignment="1">
      <alignment horizontal="center"/>
    </xf>
    <xf numFmtId="0" fontId="2" fillId="0" borderId="22" xfId="1" applyFont="1" applyFill="1" applyBorder="1" applyAlignment="1">
      <alignment horizontal="center"/>
    </xf>
    <xf numFmtId="0" fontId="2" fillId="0" borderId="5" xfId="1" applyFont="1" applyFill="1" applyBorder="1" applyAlignment="1">
      <alignment horizontal="center"/>
    </xf>
    <xf numFmtId="0" fontId="2" fillId="0" borderId="46" xfId="1" applyFont="1" applyFill="1" applyBorder="1" applyAlignment="1">
      <alignment horizontal="left"/>
    </xf>
    <xf numFmtId="0" fontId="2" fillId="0" borderId="3" xfId="1" applyFont="1" applyFill="1" applyBorder="1" applyAlignment="1">
      <alignment horizontal="centerContinuous"/>
    </xf>
    <xf numFmtId="0" fontId="2" fillId="0" borderId="2" xfId="1" applyFont="1" applyFill="1" applyBorder="1" applyAlignment="1">
      <alignment horizontal="center"/>
    </xf>
    <xf numFmtId="0" fontId="2" fillId="0" borderId="2" xfId="1" applyFont="1" applyFill="1" applyBorder="1"/>
    <xf numFmtId="0" fontId="5" fillId="0" borderId="14" xfId="1" applyFont="1" applyFill="1" applyBorder="1" applyAlignment="1">
      <alignment horizontal="centerContinuous"/>
    </xf>
    <xf numFmtId="0" fontId="2" fillId="0" borderId="30" xfId="1" applyFont="1" applyFill="1" applyBorder="1" applyAlignment="1">
      <alignment horizontal="left"/>
    </xf>
    <xf numFmtId="2" fontId="2" fillId="0" borderId="6" xfId="1" applyNumberFormat="1" applyFont="1" applyFill="1" applyBorder="1" applyAlignment="1">
      <alignment horizontal="center"/>
    </xf>
    <xf numFmtId="0" fontId="2" fillId="0" borderId="31" xfId="1" applyFont="1" applyFill="1" applyBorder="1" applyAlignment="1">
      <alignment horizontal="left"/>
    </xf>
    <xf numFmtId="0" fontId="2" fillId="0" borderId="5" xfId="1" applyFont="1" applyFill="1" applyBorder="1" applyAlignment="1">
      <alignment horizontal="left"/>
    </xf>
    <xf numFmtId="0" fontId="2" fillId="0" borderId="32" xfId="1" applyFont="1" applyFill="1" applyBorder="1" applyAlignment="1">
      <alignment horizontal="center"/>
    </xf>
    <xf numFmtId="0" fontId="2" fillId="0" borderId="8" xfId="1" applyFont="1" applyFill="1" applyBorder="1" applyAlignment="1">
      <alignment horizontal="center"/>
    </xf>
    <xf numFmtId="2" fontId="2" fillId="0" borderId="5" xfId="1" applyNumberFormat="1" applyFont="1" applyFill="1" applyBorder="1" applyAlignment="1">
      <alignment horizontal="center"/>
    </xf>
    <xf numFmtId="2" fontId="2" fillId="0" borderId="34" xfId="1" applyNumberFormat="1" applyFont="1" applyFill="1" applyBorder="1" applyAlignment="1">
      <alignment horizontal="center"/>
    </xf>
    <xf numFmtId="2" fontId="2" fillId="0" borderId="31" xfId="1" applyNumberFormat="1" applyFont="1" applyFill="1" applyBorder="1" applyAlignment="1">
      <alignment horizontal="center"/>
    </xf>
    <xf numFmtId="0" fontId="2" fillId="0" borderId="30" xfId="1" applyFont="1" applyFill="1" applyBorder="1" applyAlignment="1">
      <alignment horizontal="center"/>
    </xf>
    <xf numFmtId="0" fontId="2" fillId="0" borderId="6" xfId="1" applyFont="1" applyFill="1" applyBorder="1" applyAlignment="1">
      <alignment horizontal="left"/>
    </xf>
    <xf numFmtId="2" fontId="2" fillId="0" borderId="37" xfId="1" applyNumberFormat="1" applyFont="1" applyFill="1" applyBorder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0" fontId="2" fillId="0" borderId="45" xfId="1" applyFont="1" applyFill="1" applyBorder="1" applyAlignment="1">
      <alignment horizontal="center" vertical="center"/>
    </xf>
    <xf numFmtId="0" fontId="2" fillId="0" borderId="24" xfId="0" quotePrefix="1" applyFont="1" applyFill="1" applyBorder="1" applyAlignment="1">
      <alignment horizontal="center"/>
    </xf>
    <xf numFmtId="0" fontId="2" fillId="0" borderId="54" xfId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2" fontId="2" fillId="0" borderId="37" xfId="0" applyNumberFormat="1" applyFont="1" applyFill="1" applyBorder="1" applyAlignment="1">
      <alignment horizontal="center"/>
    </xf>
    <xf numFmtId="0" fontId="2" fillId="0" borderId="1" xfId="1" applyFont="1" applyFill="1" applyBorder="1" applyAlignment="1">
      <alignment horizontal="left"/>
    </xf>
    <xf numFmtId="0" fontId="3" fillId="0" borderId="2" xfId="1" applyFont="1" applyFill="1" applyBorder="1" applyAlignment="1">
      <alignment horizontal="centerContinuous"/>
    </xf>
    <xf numFmtId="0" fontId="2" fillId="0" borderId="2" xfId="1" applyFont="1" applyFill="1" applyBorder="1" applyAlignment="1">
      <alignment horizontal="right"/>
    </xf>
    <xf numFmtId="0" fontId="2" fillId="0" borderId="3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left"/>
    </xf>
    <xf numFmtId="0" fontId="2" fillId="0" borderId="4" xfId="1" applyFont="1" applyFill="1" applyBorder="1" applyAlignment="1">
      <alignment horizontal="left"/>
    </xf>
    <xf numFmtId="0" fontId="2" fillId="0" borderId="0" xfId="1" applyFont="1" applyFill="1" applyAlignment="1">
      <alignment horizontal="right"/>
    </xf>
    <xf numFmtId="0" fontId="2" fillId="0" borderId="6" xfId="1" applyFont="1" applyFill="1" applyBorder="1" applyAlignment="1">
      <alignment horizontal="center"/>
    </xf>
    <xf numFmtId="3" fontId="2" fillId="0" borderId="6" xfId="1" applyNumberFormat="1" applyFont="1" applyFill="1" applyBorder="1" applyAlignment="1">
      <alignment horizontal="center"/>
    </xf>
    <xf numFmtId="0" fontId="2" fillId="0" borderId="7" xfId="1" applyFont="1" applyFill="1" applyBorder="1" applyAlignment="1">
      <alignment horizontal="center"/>
    </xf>
    <xf numFmtId="3" fontId="2" fillId="0" borderId="5" xfId="1" applyNumberFormat="1" applyFont="1" applyFill="1" applyBorder="1" applyAlignment="1">
      <alignment horizontal="center"/>
    </xf>
    <xf numFmtId="0" fontId="2" fillId="0" borderId="9" xfId="1" applyFont="1" applyFill="1" applyBorder="1" applyAlignment="1">
      <alignment horizontal="center"/>
    </xf>
    <xf numFmtId="0" fontId="2" fillId="0" borderId="9" xfId="1" applyFont="1" applyFill="1" applyBorder="1"/>
    <xf numFmtId="0" fontId="2" fillId="0" borderId="10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Border="1"/>
    <xf numFmtId="2" fontId="5" fillId="0" borderId="32" xfId="0" quotePrefix="1" applyNumberFormat="1" applyFont="1" applyFill="1" applyBorder="1" applyAlignment="1">
      <alignment horizontal="center"/>
    </xf>
    <xf numFmtId="0" fontId="5" fillId="0" borderId="24" xfId="1" applyFont="1" applyFill="1" applyBorder="1" applyAlignment="1">
      <alignment horizontal="center"/>
    </xf>
    <xf numFmtId="0" fontId="5" fillId="0" borderId="27" xfId="1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5" fillId="0" borderId="25" xfId="1" applyFont="1" applyFill="1" applyBorder="1" applyAlignment="1">
      <alignment horizontal="center"/>
    </xf>
    <xf numFmtId="0" fontId="5" fillId="0" borderId="45" xfId="0" applyFont="1" applyFill="1" applyBorder="1" applyAlignment="1">
      <alignment horizontal="center"/>
    </xf>
    <xf numFmtId="0" fontId="5" fillId="0" borderId="54" xfId="1" applyFont="1" applyFill="1" applyBorder="1" applyAlignment="1">
      <alignment horizontal="center"/>
    </xf>
    <xf numFmtId="0" fontId="13" fillId="0" borderId="24" xfId="1" applyFont="1" applyFill="1" applyBorder="1" applyAlignment="1">
      <alignment horizontal="center"/>
    </xf>
    <xf numFmtId="2" fontId="13" fillId="0" borderId="24" xfId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2" fontId="13" fillId="0" borderId="24" xfId="1" applyNumberFormat="1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2" fontId="5" fillId="0" borderId="32" xfId="0" applyNumberFormat="1" applyFont="1" applyFill="1" applyBorder="1" applyAlignment="1">
      <alignment horizontal="center"/>
    </xf>
    <xf numFmtId="2" fontId="5" fillId="0" borderId="24" xfId="1" applyNumberFormat="1" applyFont="1" applyFill="1" applyBorder="1" applyAlignment="1">
      <alignment horizontal="center"/>
    </xf>
    <xf numFmtId="0" fontId="5" fillId="0" borderId="45" xfId="1" applyFont="1" applyFill="1" applyBorder="1" applyAlignment="1">
      <alignment horizontal="center" vertical="center"/>
    </xf>
    <xf numFmtId="0" fontId="5" fillId="0" borderId="24" xfId="0" quotePrefix="1" applyFont="1" applyFill="1" applyBorder="1" applyAlignment="1">
      <alignment horizontal="center"/>
    </xf>
    <xf numFmtId="2" fontId="5" fillId="0" borderId="24" xfId="0" applyNumberFormat="1" applyFont="1" applyFill="1" applyBorder="1" applyAlignment="1">
      <alignment horizontal="center" vertical="center"/>
    </xf>
    <xf numFmtId="2" fontId="5" fillId="0" borderId="24" xfId="0" quotePrefix="1" applyNumberFormat="1" applyFont="1" applyFill="1" applyBorder="1" applyAlignment="1">
      <alignment horizontal="center"/>
    </xf>
    <xf numFmtId="0" fontId="5" fillId="0" borderId="5" xfId="0" quotePrefix="1" applyFont="1" applyFill="1" applyBorder="1" applyAlignment="1">
      <alignment horizontal="center"/>
    </xf>
    <xf numFmtId="2" fontId="5" fillId="0" borderId="24" xfId="0" applyNumberFormat="1" applyFont="1" applyFill="1" applyBorder="1" applyAlignment="1">
      <alignment horizontal="center"/>
    </xf>
    <xf numFmtId="0" fontId="5" fillId="0" borderId="18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2" fontId="12" fillId="0" borderId="0" xfId="1" applyNumberFormat="1" applyFont="1" applyAlignment="1">
      <alignment horizontal="center" vertical="center"/>
    </xf>
    <xf numFmtId="0" fontId="2" fillId="0" borderId="36" xfId="1" applyFont="1" applyFill="1" applyBorder="1" applyAlignment="1">
      <alignment horizontal="center"/>
    </xf>
    <xf numFmtId="0" fontId="2" fillId="0" borderId="3" xfId="1" applyFont="1" applyFill="1" applyBorder="1" applyAlignment="1">
      <alignment horizontal="left"/>
    </xf>
    <xf numFmtId="0" fontId="2" fillId="0" borderId="0" xfId="1" applyFont="1" applyFill="1" applyBorder="1" applyAlignment="1"/>
    <xf numFmtId="0" fontId="2" fillId="0" borderId="30" xfId="1" applyFont="1" applyFill="1" applyBorder="1" applyAlignment="1"/>
    <xf numFmtId="0" fontId="5" fillId="0" borderId="28" xfId="1" applyFont="1" applyFill="1" applyBorder="1" applyAlignment="1">
      <alignment horizontal="center" vertical="center"/>
    </xf>
    <xf numFmtId="2" fontId="2" fillId="0" borderId="26" xfId="0" applyNumberFormat="1" applyFont="1" applyFill="1" applyBorder="1" applyAlignment="1">
      <alignment horizontal="center"/>
    </xf>
    <xf numFmtId="2" fontId="5" fillId="0" borderId="24" xfId="1" applyNumberFormat="1" applyFont="1" applyFill="1" applyBorder="1" applyAlignment="1">
      <alignment horizontal="center" vertical="center"/>
    </xf>
    <xf numFmtId="2" fontId="5" fillId="0" borderId="24" xfId="0" quotePrefix="1" applyNumberFormat="1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9" fillId="0" borderId="55" xfId="0" applyFont="1" applyFill="1" applyBorder="1" applyAlignment="1">
      <alignment horizontal="center"/>
    </xf>
    <xf numFmtId="2" fontId="2" fillId="0" borderId="45" xfId="0" applyNumberFormat="1" applyFont="1" applyFill="1" applyBorder="1" applyAlignment="1">
      <alignment horizontal="center"/>
    </xf>
    <xf numFmtId="2" fontId="2" fillId="0" borderId="34" xfId="0" quotePrefix="1" applyNumberFormat="1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2" fontId="13" fillId="0" borderId="24" xfId="0" quotePrefix="1" applyNumberFormat="1" applyFont="1" applyFill="1" applyBorder="1" applyAlignment="1">
      <alignment horizontal="center"/>
    </xf>
    <xf numFmtId="0" fontId="13" fillId="0" borderId="24" xfId="0" quotePrefix="1" applyFont="1" applyFill="1" applyBorder="1" applyAlignment="1">
      <alignment horizontal="center"/>
    </xf>
    <xf numFmtId="2" fontId="13" fillId="0" borderId="24" xfId="0" applyNumberFormat="1" applyFont="1" applyFill="1" applyBorder="1" applyAlignment="1">
      <alignment horizontal="center"/>
    </xf>
    <xf numFmtId="0" fontId="13" fillId="0" borderId="45" xfId="1" applyFont="1" applyFill="1" applyBorder="1" applyAlignment="1">
      <alignment horizontal="center" vertical="center"/>
    </xf>
    <xf numFmtId="0" fontId="13" fillId="0" borderId="5" xfId="0" quotePrefix="1" applyFont="1" applyFill="1" applyBorder="1" applyAlignment="1">
      <alignment horizontal="center"/>
    </xf>
    <xf numFmtId="2" fontId="13" fillId="0" borderId="32" xfId="0" quotePrefix="1" applyNumberFormat="1" applyFont="1" applyFill="1" applyBorder="1" applyAlignment="1">
      <alignment horizontal="center"/>
    </xf>
    <xf numFmtId="0" fontId="13" fillId="0" borderId="45" xfId="0" applyFont="1" applyFill="1" applyBorder="1" applyAlignment="1">
      <alignment horizontal="center"/>
    </xf>
    <xf numFmtId="2" fontId="5" fillId="0" borderId="32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2" fontId="2" fillId="0" borderId="24" xfId="0" applyNumberFormat="1" applyFont="1" applyFill="1" applyBorder="1" applyAlignment="1">
      <alignment horizontal="center" vertical="center"/>
    </xf>
    <xf numFmtId="0" fontId="2" fillId="0" borderId="0" xfId="1" applyFont="1" applyFill="1"/>
    <xf numFmtId="0" fontId="2" fillId="0" borderId="42" xfId="1" applyFont="1" applyFill="1" applyBorder="1" applyAlignment="1">
      <alignment horizontal="left"/>
    </xf>
    <xf numFmtId="0" fontId="2" fillId="0" borderId="9" xfId="1" applyFont="1" applyFill="1" applyBorder="1" applyAlignment="1">
      <alignment horizontal="left"/>
    </xf>
    <xf numFmtId="2" fontId="9" fillId="0" borderId="0" xfId="1" applyNumberFormat="1" applyFont="1" applyFill="1"/>
    <xf numFmtId="0" fontId="5" fillId="0" borderId="0" xfId="1" applyFont="1" applyFill="1" applyAlignment="1">
      <alignment horizontal="center" vertical="center"/>
    </xf>
    <xf numFmtId="2" fontId="12" fillId="0" borderId="0" xfId="1" applyNumberFormat="1" applyFont="1" applyFill="1" applyAlignment="1">
      <alignment horizontal="center" vertical="center"/>
    </xf>
    <xf numFmtId="2" fontId="9" fillId="0" borderId="0" xfId="1" applyNumberFormat="1" applyFont="1" applyFill="1" applyProtection="1">
      <protection hidden="1"/>
    </xf>
    <xf numFmtId="2" fontId="2" fillId="0" borderId="0" xfId="1" applyNumberFormat="1" applyFont="1" applyFill="1"/>
    <xf numFmtId="0" fontId="2" fillId="2" borderId="24" xfId="0" applyFont="1" applyFill="1" applyBorder="1" applyAlignment="1">
      <alignment horizontal="center"/>
    </xf>
    <xf numFmtId="0" fontId="2" fillId="2" borderId="24" xfId="1" applyFont="1" applyFill="1" applyBorder="1" applyAlignment="1">
      <alignment horizontal="center"/>
    </xf>
    <xf numFmtId="2" fontId="2" fillId="2" borderId="24" xfId="0" quotePrefix="1" applyNumberFormat="1" applyFont="1" applyFill="1" applyBorder="1" applyAlignment="1">
      <alignment horizontal="center"/>
    </xf>
    <xf numFmtId="0" fontId="5" fillId="0" borderId="0" xfId="1" applyFont="1" applyFill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0" fontId="15" fillId="0" borderId="24" xfId="0" applyFont="1" applyFill="1" applyBorder="1" applyAlignment="1">
      <alignment horizontal="center"/>
    </xf>
    <xf numFmtId="0" fontId="2" fillId="0" borderId="0" xfId="1" applyFont="1" applyFill="1" applyAlignment="1">
      <alignment horizontal="left"/>
    </xf>
    <xf numFmtId="0" fontId="2" fillId="0" borderId="30" xfId="1" applyFont="1" applyFill="1" applyBorder="1"/>
    <xf numFmtId="2" fontId="15" fillId="0" borderId="24" xfId="1" applyNumberFormat="1" applyFont="1" applyFill="1" applyBorder="1" applyAlignment="1">
      <alignment horizontal="center"/>
    </xf>
    <xf numFmtId="0" fontId="5" fillId="0" borderId="9" xfId="1" applyFont="1" applyFill="1" applyBorder="1" applyAlignment="1">
      <alignment horizontal="center"/>
    </xf>
    <xf numFmtId="0" fontId="5" fillId="0" borderId="9" xfId="1" applyFont="1" applyFill="1" applyBorder="1" applyAlignment="1">
      <alignment horizontal="left"/>
    </xf>
    <xf numFmtId="0" fontId="5" fillId="0" borderId="30" xfId="1" applyFont="1" applyFill="1" applyBorder="1" applyAlignment="1">
      <alignment horizontal="left"/>
    </xf>
    <xf numFmtId="0" fontId="5" fillId="0" borderId="42" xfId="1" applyFont="1" applyFill="1" applyBorder="1" applyAlignment="1">
      <alignment horizontal="left"/>
    </xf>
    <xf numFmtId="0" fontId="5" fillId="0" borderId="35" xfId="1" applyFont="1" applyFill="1" applyBorder="1" applyAlignment="1">
      <alignment horizontal="center" vertical="center"/>
    </xf>
    <xf numFmtId="0" fontId="2" fillId="0" borderId="56" xfId="1" applyFont="1" applyFill="1" applyBorder="1" applyAlignment="1">
      <alignment horizontal="left"/>
    </xf>
    <xf numFmtId="0" fontId="5" fillId="0" borderId="31" xfId="1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2" fontId="15" fillId="0" borderId="22" xfId="1" applyNumberFormat="1" applyFont="1" applyFill="1" applyBorder="1" applyAlignment="1">
      <alignment horizontal="center"/>
    </xf>
    <xf numFmtId="0" fontId="2" fillId="0" borderId="44" xfId="1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2" fontId="15" fillId="0" borderId="28" xfId="1" applyNumberFormat="1" applyFont="1" applyFill="1" applyBorder="1" applyAlignment="1">
      <alignment horizontal="center"/>
    </xf>
    <xf numFmtId="0" fontId="2" fillId="0" borderId="28" xfId="1" applyFont="1" applyFill="1" applyBorder="1" applyAlignment="1">
      <alignment horizontal="center"/>
    </xf>
    <xf numFmtId="0" fontId="2" fillId="0" borderId="29" xfId="1" applyFont="1" applyFill="1" applyBorder="1" applyAlignment="1">
      <alignment horizontal="center"/>
    </xf>
    <xf numFmtId="0" fontId="16" fillId="0" borderId="0" xfId="1" applyFont="1" applyFill="1" applyAlignment="1">
      <alignment horizontal="center" vertical="center"/>
    </xf>
    <xf numFmtId="2" fontId="16" fillId="0" borderId="0" xfId="1" applyNumberFormat="1" applyFont="1" applyFill="1" applyAlignment="1">
      <alignment horizontal="center" vertical="center"/>
    </xf>
    <xf numFmtId="2" fontId="17" fillId="0" borderId="0" xfId="1" applyNumberFormat="1" applyFont="1" applyFill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51" xfId="1" applyFont="1" applyBorder="1" applyAlignment="1">
      <alignment horizontal="center"/>
    </xf>
    <xf numFmtId="0" fontId="2" fillId="0" borderId="57" xfId="1" applyFont="1" applyBorder="1" applyAlignment="1">
      <alignment horizontal="center"/>
    </xf>
    <xf numFmtId="0" fontId="2" fillId="0" borderId="33" xfId="1" applyFont="1" applyBorder="1" applyAlignment="1">
      <alignment horizontal="left"/>
    </xf>
    <xf numFmtId="2" fontId="2" fillId="0" borderId="45" xfId="1" applyNumberFormat="1" applyFont="1" applyBorder="1" applyAlignment="1">
      <alignment horizontal="center"/>
    </xf>
    <xf numFmtId="2" fontId="2" fillId="0" borderId="55" xfId="1" applyNumberFormat="1" applyFont="1" applyBorder="1" applyAlignment="1">
      <alignment horizontal="center"/>
    </xf>
    <xf numFmtId="0" fontId="2" fillId="0" borderId="0" xfId="0" quotePrefix="1" applyFont="1"/>
    <xf numFmtId="2" fontId="2" fillId="0" borderId="26" xfId="1" applyNumberFormat="1" applyFont="1" applyBorder="1" applyAlignment="1">
      <alignment horizontal="center"/>
    </xf>
    <xf numFmtId="0" fontId="13" fillId="0" borderId="45" xfId="0" applyFont="1" applyFill="1" applyBorder="1" applyAlignment="1">
      <alignment horizontal="center" vertical="center"/>
    </xf>
    <xf numFmtId="0" fontId="13" fillId="0" borderId="55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 textRotation="90"/>
    </xf>
    <xf numFmtId="0" fontId="5" fillId="0" borderId="17" xfId="1" applyFont="1" applyFill="1" applyBorder="1" applyAlignment="1">
      <alignment horizontal="center" vertical="center" textRotation="90"/>
    </xf>
    <xf numFmtId="0" fontId="18" fillId="0" borderId="30" xfId="1" applyFont="1" applyFill="1" applyBorder="1" applyAlignment="1">
      <alignment horizontal="left" vertical="top" wrapText="1"/>
    </xf>
    <xf numFmtId="0" fontId="18" fillId="0" borderId="0" xfId="1" applyFont="1" applyFill="1" applyAlignment="1">
      <alignment horizontal="left" vertical="top" wrapText="1"/>
    </xf>
    <xf numFmtId="0" fontId="18" fillId="0" borderId="42" xfId="1" applyFont="1" applyFill="1" applyBorder="1" applyAlignment="1">
      <alignment horizontal="left" vertical="top" wrapText="1"/>
    </xf>
    <xf numFmtId="0" fontId="18" fillId="0" borderId="9" xfId="1" applyFont="1" applyFill="1" applyBorder="1" applyAlignment="1">
      <alignment horizontal="left" vertical="top" wrapText="1"/>
    </xf>
    <xf numFmtId="0" fontId="5" fillId="0" borderId="11" xfId="1" applyFont="1" applyFill="1" applyBorder="1" applyAlignment="1">
      <alignment horizontal="center" vertical="center" textRotation="90"/>
    </xf>
    <xf numFmtId="0" fontId="5" fillId="0" borderId="16" xfId="1" applyFont="1" applyFill="1" applyBorder="1" applyAlignment="1">
      <alignment horizontal="center" vertical="center" textRotation="90"/>
    </xf>
    <xf numFmtId="0" fontId="5" fillId="0" borderId="59" xfId="1" applyFont="1" applyFill="1" applyBorder="1" applyAlignment="1">
      <alignment horizontal="center" vertical="center"/>
    </xf>
    <xf numFmtId="0" fontId="5" fillId="0" borderId="61" xfId="1" applyFont="1" applyFill="1" applyBorder="1" applyAlignment="1">
      <alignment horizontal="center" vertical="center"/>
    </xf>
    <xf numFmtId="0" fontId="5" fillId="0" borderId="13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14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left" vertical="center"/>
    </xf>
    <xf numFmtId="0" fontId="13" fillId="0" borderId="5" xfId="0" quotePrefix="1" applyFont="1" applyFill="1" applyBorder="1" applyAlignment="1">
      <alignment horizontal="left" vertical="center"/>
    </xf>
    <xf numFmtId="0" fontId="13" fillId="0" borderId="32" xfId="0" quotePrefix="1" applyFont="1" applyFill="1" applyBorder="1" applyAlignment="1">
      <alignment horizontal="left" vertical="center"/>
    </xf>
    <xf numFmtId="0" fontId="5" fillId="0" borderId="15" xfId="1" applyFont="1" applyFill="1" applyBorder="1" applyAlignment="1">
      <alignment horizontal="center" vertical="center" textRotation="90"/>
    </xf>
    <xf numFmtId="0" fontId="5" fillId="0" borderId="20" xfId="1" applyFont="1" applyFill="1" applyBorder="1" applyAlignment="1">
      <alignment horizontal="center" vertical="center" textRotation="90"/>
    </xf>
    <xf numFmtId="0" fontId="13" fillId="0" borderId="12" xfId="0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left" vertical="center"/>
    </xf>
    <xf numFmtId="0" fontId="13" fillId="0" borderId="2" xfId="0" quotePrefix="1" applyFont="1" applyFill="1" applyBorder="1" applyAlignment="1">
      <alignment horizontal="left" vertical="center"/>
    </xf>
    <xf numFmtId="0" fontId="13" fillId="0" borderId="14" xfId="0" quotePrefix="1" applyFont="1" applyFill="1" applyBorder="1" applyAlignment="1">
      <alignment horizontal="left" vertical="center"/>
    </xf>
    <xf numFmtId="0" fontId="13" fillId="0" borderId="35" xfId="0" quotePrefix="1" applyFont="1" applyFill="1" applyBorder="1" applyAlignment="1">
      <alignment horizontal="left" vertical="center"/>
    </xf>
    <xf numFmtId="0" fontId="13" fillId="0" borderId="0" xfId="0" quotePrefix="1" applyFont="1" applyFill="1" applyBorder="1" applyAlignment="1">
      <alignment horizontal="left" vertical="center"/>
    </xf>
    <xf numFmtId="0" fontId="13" fillId="0" borderId="31" xfId="0" quotePrefix="1" applyFont="1" applyFill="1" applyBorder="1" applyAlignment="1">
      <alignment horizontal="left" vertical="center"/>
    </xf>
    <xf numFmtId="0" fontId="13" fillId="0" borderId="38" xfId="0" quotePrefix="1" applyFont="1" applyFill="1" applyBorder="1" applyAlignment="1">
      <alignment horizontal="left" vertical="center"/>
    </xf>
    <xf numFmtId="0" fontId="13" fillId="0" borderId="6" xfId="0" quotePrefix="1" applyFont="1" applyFill="1" applyBorder="1" applyAlignment="1">
      <alignment horizontal="left" vertical="center"/>
    </xf>
    <xf numFmtId="0" fontId="13" fillId="0" borderId="37" xfId="0" quotePrefix="1" applyFont="1" applyFill="1" applyBorder="1" applyAlignment="1">
      <alignment horizontal="left" vertical="center"/>
    </xf>
    <xf numFmtId="0" fontId="5" fillId="0" borderId="12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 wrapText="1"/>
    </xf>
    <xf numFmtId="0" fontId="5" fillId="0" borderId="22" xfId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left"/>
    </xf>
    <xf numFmtId="0" fontId="13" fillId="0" borderId="5" xfId="0" quotePrefix="1" applyFont="1" applyFill="1" applyBorder="1" applyAlignment="1">
      <alignment horizontal="left"/>
    </xf>
    <xf numFmtId="0" fontId="13" fillId="0" borderId="32" xfId="0" quotePrefix="1" applyFont="1" applyFill="1" applyBorder="1" applyAlignment="1">
      <alignment horizontal="left"/>
    </xf>
    <xf numFmtId="0" fontId="5" fillId="0" borderId="59" xfId="1" applyFont="1" applyFill="1" applyBorder="1" applyAlignment="1">
      <alignment horizontal="center"/>
    </xf>
    <xf numFmtId="0" fontId="5" fillId="0" borderId="3" xfId="1" applyFont="1" applyFill="1" applyBorder="1" applyAlignment="1">
      <alignment horizontal="center"/>
    </xf>
    <xf numFmtId="0" fontId="5" fillId="0" borderId="47" xfId="1" applyFont="1" applyFill="1" applyBorder="1" applyAlignment="1">
      <alignment horizontal="center"/>
    </xf>
    <xf numFmtId="0" fontId="2" fillId="0" borderId="33" xfId="1" applyFont="1" applyFill="1" applyBorder="1" applyAlignment="1">
      <alignment horizontal="left"/>
    </xf>
    <xf numFmtId="0" fontId="2" fillId="0" borderId="5" xfId="1" applyFont="1" applyFill="1" applyBorder="1" applyAlignment="1">
      <alignment horizontal="left"/>
    </xf>
    <xf numFmtId="0" fontId="2" fillId="0" borderId="32" xfId="1" applyFont="1" applyFill="1" applyBorder="1" applyAlignment="1">
      <alignment horizontal="left"/>
    </xf>
    <xf numFmtId="0" fontId="2" fillId="0" borderId="33" xfId="1" applyFont="1" applyFill="1" applyBorder="1" applyAlignment="1">
      <alignment horizontal="center"/>
    </xf>
    <xf numFmtId="0" fontId="2" fillId="0" borderId="5" xfId="1" applyFont="1" applyFill="1" applyBorder="1" applyAlignment="1">
      <alignment horizontal="center"/>
    </xf>
    <xf numFmtId="0" fontId="2" fillId="0" borderId="32" xfId="1" applyFont="1" applyFill="1" applyBorder="1" applyAlignment="1">
      <alignment horizontal="center"/>
    </xf>
    <xf numFmtId="0" fontId="2" fillId="0" borderId="60" xfId="1" applyFont="1" applyFill="1" applyBorder="1" applyAlignment="1">
      <alignment horizontal="left"/>
    </xf>
    <xf numFmtId="0" fontId="2" fillId="0" borderId="51" xfId="1" applyFont="1" applyFill="1" applyBorder="1" applyAlignment="1">
      <alignment horizontal="left"/>
    </xf>
    <xf numFmtId="0" fontId="2" fillId="0" borderId="34" xfId="1" applyFont="1" applyFill="1" applyBorder="1" applyAlignment="1">
      <alignment horizontal="left"/>
    </xf>
    <xf numFmtId="9" fontId="2" fillId="0" borderId="60" xfId="1" applyNumberFormat="1" applyFont="1" applyFill="1" applyBorder="1" applyAlignment="1">
      <alignment horizontal="center"/>
    </xf>
    <xf numFmtId="9" fontId="2" fillId="0" borderId="51" xfId="1" applyNumberFormat="1" applyFont="1" applyFill="1" applyBorder="1" applyAlignment="1">
      <alignment horizontal="center"/>
    </xf>
    <xf numFmtId="9" fontId="2" fillId="0" borderId="34" xfId="1" applyNumberFormat="1" applyFont="1" applyFill="1" applyBorder="1" applyAlignment="1">
      <alignment horizontal="center"/>
    </xf>
    <xf numFmtId="2" fontId="2" fillId="0" borderId="60" xfId="1" applyNumberFormat="1" applyFont="1" applyFill="1" applyBorder="1" applyAlignment="1">
      <alignment horizontal="center"/>
    </xf>
    <xf numFmtId="2" fontId="2" fillId="0" borderId="51" xfId="1" applyNumberFormat="1" applyFont="1" applyFill="1" applyBorder="1" applyAlignment="1">
      <alignment horizontal="center"/>
    </xf>
    <xf numFmtId="2" fontId="2" fillId="0" borderId="57" xfId="1" applyNumberFormat="1" applyFont="1" applyFill="1" applyBorder="1" applyAlignment="1">
      <alignment horizontal="center"/>
    </xf>
    <xf numFmtId="0" fontId="2" fillId="0" borderId="35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left"/>
    </xf>
    <xf numFmtId="0" fontId="2" fillId="0" borderId="31" xfId="1" applyFont="1" applyFill="1" applyBorder="1" applyAlignment="1">
      <alignment horizontal="left"/>
    </xf>
    <xf numFmtId="9" fontId="2" fillId="0" borderId="35" xfId="1" applyNumberFormat="1" applyFont="1" applyFill="1" applyBorder="1" applyAlignment="1">
      <alignment horizontal="center"/>
    </xf>
    <xf numFmtId="9" fontId="2" fillId="0" borderId="0" xfId="1" applyNumberFormat="1" applyFont="1" applyFill="1" applyBorder="1" applyAlignment="1">
      <alignment horizontal="center"/>
    </xf>
    <xf numFmtId="9" fontId="2" fillId="0" borderId="31" xfId="1" applyNumberFormat="1" applyFont="1" applyFill="1" applyBorder="1" applyAlignment="1">
      <alignment horizontal="center"/>
    </xf>
    <xf numFmtId="2" fontId="2" fillId="0" borderId="35" xfId="1" applyNumberFormat="1" applyFont="1" applyFill="1" applyBorder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2" fontId="2" fillId="0" borderId="36" xfId="1" applyNumberFormat="1" applyFont="1" applyFill="1" applyBorder="1" applyAlignment="1">
      <alignment horizontal="center"/>
    </xf>
    <xf numFmtId="0" fontId="2" fillId="0" borderId="35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31" xfId="1" applyFont="1" applyFill="1" applyBorder="1" applyAlignment="1">
      <alignment horizontal="center"/>
    </xf>
    <xf numFmtId="0" fontId="2" fillId="0" borderId="38" xfId="1" applyFont="1" applyFill="1" applyBorder="1" applyAlignment="1">
      <alignment horizontal="left"/>
    </xf>
    <xf numFmtId="0" fontId="2" fillId="0" borderId="6" xfId="1" applyFont="1" applyFill="1" applyBorder="1" applyAlignment="1">
      <alignment horizontal="left"/>
    </xf>
    <xf numFmtId="0" fontId="2" fillId="0" borderId="37" xfId="1" applyFont="1" applyFill="1" applyBorder="1" applyAlignment="1">
      <alignment horizontal="left"/>
    </xf>
    <xf numFmtId="0" fontId="2" fillId="0" borderId="38" xfId="1" applyFont="1" applyFill="1" applyBorder="1" applyAlignment="1">
      <alignment horizontal="center"/>
    </xf>
    <xf numFmtId="0" fontId="2" fillId="0" borderId="6" xfId="1" applyFont="1" applyFill="1" applyBorder="1" applyAlignment="1">
      <alignment horizontal="center"/>
    </xf>
    <xf numFmtId="0" fontId="2" fillId="0" borderId="37" xfId="1" applyFont="1" applyFill="1" applyBorder="1" applyAlignment="1">
      <alignment horizontal="center"/>
    </xf>
    <xf numFmtId="2" fontId="2" fillId="0" borderId="38" xfId="1" applyNumberFormat="1" applyFont="1" applyFill="1" applyBorder="1" applyAlignment="1">
      <alignment horizontal="center"/>
    </xf>
    <xf numFmtId="2" fontId="2" fillId="0" borderId="6" xfId="1" applyNumberFormat="1" applyFont="1" applyFill="1" applyBorder="1" applyAlignment="1">
      <alignment horizontal="center"/>
    </xf>
    <xf numFmtId="2" fontId="2" fillId="0" borderId="7" xfId="1" applyNumberFormat="1" applyFont="1" applyFill="1" applyBorder="1" applyAlignment="1">
      <alignment horizontal="center"/>
    </xf>
    <xf numFmtId="0" fontId="2" fillId="0" borderId="51" xfId="1" applyFont="1" applyFill="1" applyBorder="1" applyAlignment="1">
      <alignment horizontal="center"/>
    </xf>
    <xf numFmtId="2" fontId="2" fillId="0" borderId="49" xfId="1" applyNumberFormat="1" applyFont="1" applyFill="1" applyBorder="1" applyAlignment="1">
      <alignment horizontal="center"/>
    </xf>
    <xf numFmtId="2" fontId="2" fillId="0" borderId="58" xfId="1" applyNumberFormat="1" applyFont="1" applyFill="1" applyBorder="1" applyAlignment="1">
      <alignment horizontal="center"/>
    </xf>
    <xf numFmtId="0" fontId="2" fillId="0" borderId="36" xfId="1" applyFont="1" applyFill="1" applyBorder="1" applyAlignment="1">
      <alignment horizontal="center"/>
    </xf>
    <xf numFmtId="2" fontId="5" fillId="0" borderId="39" xfId="1" applyNumberFormat="1" applyFont="1" applyFill="1" applyBorder="1" applyAlignment="1">
      <alignment horizontal="center"/>
    </xf>
    <xf numFmtId="2" fontId="5" fillId="0" borderId="40" xfId="1" applyNumberFormat="1" applyFont="1" applyFill="1" applyBorder="1" applyAlignment="1">
      <alignment horizontal="center"/>
    </xf>
    <xf numFmtId="2" fontId="5" fillId="0" borderId="41" xfId="1" applyNumberFormat="1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left"/>
    </xf>
    <xf numFmtId="0" fontId="5" fillId="0" borderId="13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35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31" xfId="0" applyFont="1" applyFill="1" applyBorder="1" applyAlignment="1">
      <alignment horizontal="left" vertical="center"/>
    </xf>
    <xf numFmtId="0" fontId="5" fillId="0" borderId="38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37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60" xfId="0" applyFont="1" applyFill="1" applyBorder="1" applyAlignment="1">
      <alignment horizontal="left" vertical="center"/>
    </xf>
    <xf numFmtId="0" fontId="2" fillId="0" borderId="51" xfId="0" applyFont="1" applyFill="1" applyBorder="1" applyAlignment="1">
      <alignment horizontal="left"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37" xfId="0" applyFont="1" applyFill="1" applyBorder="1" applyAlignment="1">
      <alignment horizontal="left" vertical="center"/>
    </xf>
    <xf numFmtId="0" fontId="2" fillId="0" borderId="33" xfId="0" quotePrefix="1" applyFont="1" applyFill="1" applyBorder="1" applyAlignment="1">
      <alignment horizontal="left"/>
    </xf>
    <xf numFmtId="0" fontId="2" fillId="0" borderId="5" xfId="0" quotePrefix="1" applyFont="1" applyFill="1" applyBorder="1" applyAlignment="1">
      <alignment horizontal="left"/>
    </xf>
    <xf numFmtId="0" fontId="2" fillId="0" borderId="32" xfId="0" quotePrefix="1" applyFont="1" applyFill="1" applyBorder="1" applyAlignment="1">
      <alignment horizontal="left"/>
    </xf>
    <xf numFmtId="0" fontId="2" fillId="0" borderId="33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32" xfId="0" applyFont="1" applyFill="1" applyBorder="1" applyAlignment="1">
      <alignment horizontal="left"/>
    </xf>
    <xf numFmtId="0" fontId="2" fillId="0" borderId="60" xfId="0" quotePrefix="1" applyFont="1" applyFill="1" applyBorder="1" applyAlignment="1">
      <alignment horizontal="left" vertical="center"/>
    </xf>
    <xf numFmtId="0" fontId="2" fillId="0" borderId="51" xfId="0" quotePrefix="1" applyFont="1" applyFill="1" applyBorder="1" applyAlignment="1">
      <alignment horizontal="left" vertical="center"/>
    </xf>
    <xf numFmtId="0" fontId="2" fillId="0" borderId="34" xfId="0" quotePrefix="1" applyFont="1" applyFill="1" applyBorder="1" applyAlignment="1">
      <alignment horizontal="left" vertical="center"/>
    </xf>
    <xf numFmtId="0" fontId="2" fillId="0" borderId="35" xfId="0" quotePrefix="1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31" xfId="0" quotePrefix="1" applyFont="1" applyFill="1" applyBorder="1" applyAlignment="1">
      <alignment horizontal="left" vertical="center"/>
    </xf>
    <xf numFmtId="0" fontId="2" fillId="0" borderId="18" xfId="0" quotePrefix="1" applyFont="1" applyFill="1" applyBorder="1" applyAlignment="1">
      <alignment horizontal="left" vertical="center"/>
    </xf>
    <xf numFmtId="0" fontId="2" fillId="0" borderId="9" xfId="0" quotePrefix="1" applyFont="1" applyFill="1" applyBorder="1" applyAlignment="1">
      <alignment horizontal="left" vertical="center"/>
    </xf>
    <xf numFmtId="0" fontId="2" fillId="0" borderId="19" xfId="0" quotePrefix="1" applyFont="1" applyFill="1" applyBorder="1" applyAlignment="1">
      <alignment horizontal="left" vertical="center"/>
    </xf>
    <xf numFmtId="0" fontId="2" fillId="0" borderId="5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2" borderId="33" xfId="0" quotePrefix="1" applyFont="1" applyFill="1" applyBorder="1" applyAlignment="1">
      <alignment horizontal="left"/>
    </xf>
    <xf numFmtId="0" fontId="2" fillId="2" borderId="5" xfId="0" quotePrefix="1" applyFont="1" applyFill="1" applyBorder="1" applyAlignment="1">
      <alignment horizontal="left"/>
    </xf>
    <xf numFmtId="0" fontId="2" fillId="2" borderId="32" xfId="0" quotePrefix="1" applyFont="1" applyFill="1" applyBorder="1" applyAlignment="1">
      <alignment horizontal="left"/>
    </xf>
    <xf numFmtId="0" fontId="2" fillId="0" borderId="33" xfId="0" quotePrefix="1" applyFont="1" applyFill="1" applyBorder="1" applyAlignment="1">
      <alignment horizontal="left" vertical="center"/>
    </xf>
    <xf numFmtId="0" fontId="2" fillId="0" borderId="5" xfId="0" quotePrefix="1" applyFont="1" applyFill="1" applyBorder="1" applyAlignment="1">
      <alignment horizontal="left" vertical="center"/>
    </xf>
    <xf numFmtId="0" fontId="2" fillId="0" borderId="32" xfId="0" quotePrefix="1" applyFont="1" applyFill="1" applyBorder="1" applyAlignment="1">
      <alignment horizontal="left" vertical="center"/>
    </xf>
    <xf numFmtId="0" fontId="2" fillId="0" borderId="60" xfId="1" applyFont="1" applyBorder="1" applyAlignment="1">
      <alignment horizontal="left"/>
    </xf>
    <xf numFmtId="0" fontId="2" fillId="0" borderId="51" xfId="1" applyFont="1" applyBorder="1" applyAlignment="1">
      <alignment horizontal="left"/>
    </xf>
    <xf numFmtId="0" fontId="2" fillId="0" borderId="34" xfId="1" applyFont="1" applyBorder="1" applyAlignment="1">
      <alignment horizontal="left"/>
    </xf>
    <xf numFmtId="0" fontId="2" fillId="0" borderId="35" xfId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31" xfId="1" applyFont="1" applyBorder="1" applyAlignment="1">
      <alignment horizontal="left"/>
    </xf>
    <xf numFmtId="0" fontId="15" fillId="0" borderId="24" xfId="0" quotePrefix="1" applyFont="1" applyFill="1" applyBorder="1" applyAlignment="1">
      <alignment horizontal="left"/>
    </xf>
    <xf numFmtId="0" fontId="2" fillId="0" borderId="38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28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32" xfId="1" applyFont="1" applyBorder="1" applyAlignment="1">
      <alignment horizontal="center"/>
    </xf>
    <xf numFmtId="0" fontId="5" fillId="0" borderId="55" xfId="1" applyFont="1" applyFill="1" applyBorder="1" applyAlignment="1">
      <alignment horizontal="center" vertical="center" textRotation="90"/>
    </xf>
    <xf numFmtId="0" fontId="4" fillId="0" borderId="30" xfId="1" applyFont="1" applyFill="1" applyBorder="1" applyAlignment="1">
      <alignment horizontal="left" vertical="top" wrapText="1"/>
    </xf>
    <xf numFmtId="0" fontId="4" fillId="0" borderId="0" xfId="1" applyFont="1" applyFill="1" applyAlignment="1">
      <alignment horizontal="left" vertical="top" wrapText="1"/>
    </xf>
    <xf numFmtId="0" fontId="4" fillId="0" borderId="0" xfId="1" applyFont="1" applyFill="1" applyBorder="1" applyAlignment="1">
      <alignment horizontal="left" vertical="top" wrapText="1"/>
    </xf>
    <xf numFmtId="0" fontId="5" fillId="0" borderId="63" xfId="1" applyFont="1" applyFill="1" applyBorder="1" applyAlignment="1">
      <alignment horizontal="center" vertical="center" textRotation="90"/>
    </xf>
    <xf numFmtId="0" fontId="5" fillId="0" borderId="62" xfId="1" applyFont="1" applyFill="1" applyBorder="1" applyAlignment="1">
      <alignment horizontal="center" vertical="center" textRotation="90"/>
    </xf>
    <xf numFmtId="0" fontId="15" fillId="0" borderId="22" xfId="0" quotePrefix="1" applyFont="1" applyFill="1" applyBorder="1" applyAlignment="1">
      <alignment horizontal="left"/>
    </xf>
    <xf numFmtId="0" fontId="5" fillId="0" borderId="55" xfId="1" applyFont="1" applyFill="1" applyBorder="1" applyAlignment="1">
      <alignment horizontal="center" vertical="center" wrapText="1"/>
    </xf>
    <xf numFmtId="0" fontId="5" fillId="0" borderId="35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31" xfId="1" applyFont="1" applyFill="1" applyBorder="1" applyAlignment="1">
      <alignment horizontal="center" vertical="center"/>
    </xf>
    <xf numFmtId="0" fontId="15" fillId="0" borderId="28" xfId="0" quotePrefix="1" applyFont="1" applyFill="1" applyBorder="1" applyAlignment="1">
      <alignment horizontal="left"/>
    </xf>
    <xf numFmtId="0" fontId="5" fillId="0" borderId="38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2" fillId="0" borderId="60" xfId="1" applyFont="1" applyBorder="1" applyAlignment="1">
      <alignment horizontal="center"/>
    </xf>
    <xf numFmtId="0" fontId="2" fillId="0" borderId="51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9" fontId="2" fillId="0" borderId="60" xfId="1" applyNumberFormat="1" applyFont="1" applyBorder="1" applyAlignment="1">
      <alignment horizontal="center"/>
    </xf>
    <xf numFmtId="9" fontId="2" fillId="0" borderId="51" xfId="1" applyNumberFormat="1" applyFont="1" applyBorder="1" applyAlignment="1">
      <alignment horizontal="center"/>
    </xf>
    <xf numFmtId="2" fontId="2" fillId="0" borderId="60" xfId="1" applyNumberFormat="1" applyFont="1" applyBorder="1" applyAlignment="1">
      <alignment horizontal="center"/>
    </xf>
    <xf numFmtId="2" fontId="2" fillId="0" borderId="51" xfId="1" applyNumberFormat="1" applyFont="1" applyBorder="1" applyAlignment="1">
      <alignment horizontal="center"/>
    </xf>
    <xf numFmtId="2" fontId="2" fillId="0" borderId="57" xfId="1" applyNumberFormat="1" applyFont="1" applyBorder="1" applyAlignment="1">
      <alignment horizontal="center"/>
    </xf>
    <xf numFmtId="2" fontId="2" fillId="0" borderId="35" xfId="1" applyNumberFormat="1" applyFont="1" applyBorder="1" applyAlignment="1">
      <alignment horizontal="center"/>
    </xf>
    <xf numFmtId="2" fontId="2" fillId="0" borderId="0" xfId="1" applyNumberFormat="1" applyFont="1" applyAlignment="1">
      <alignment horizontal="center"/>
    </xf>
    <xf numFmtId="2" fontId="2" fillId="0" borderId="36" xfId="1" applyNumberFormat="1" applyFont="1" applyBorder="1" applyAlignment="1">
      <alignment horizontal="center"/>
    </xf>
    <xf numFmtId="9" fontId="2" fillId="0" borderId="35" xfId="1" applyNumberFormat="1" applyFont="1" applyBorder="1" applyAlignment="1">
      <alignment horizontal="center"/>
    </xf>
    <xf numFmtId="9" fontId="2" fillId="0" borderId="0" xfId="1" applyNumberFormat="1" applyFont="1" applyAlignment="1">
      <alignment horizontal="center"/>
    </xf>
    <xf numFmtId="0" fontId="2" fillId="0" borderId="35" xfId="1" applyFont="1" applyBorder="1" applyAlignment="1">
      <alignment horizontal="center"/>
    </xf>
    <xf numFmtId="0" fontId="2" fillId="0" borderId="0" xfId="1" applyFont="1" applyAlignment="1">
      <alignment horizontal="center"/>
    </xf>
    <xf numFmtId="2" fontId="2" fillId="0" borderId="38" xfId="1" applyNumberFormat="1" applyFont="1" applyBorder="1" applyAlignment="1">
      <alignment horizontal="center"/>
    </xf>
    <xf numFmtId="2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2" fontId="2" fillId="0" borderId="5" xfId="1" applyNumberFormat="1" applyFont="1" applyBorder="1" applyAlignment="1">
      <alignment horizontal="center"/>
    </xf>
    <xf numFmtId="2" fontId="2" fillId="0" borderId="8" xfId="1" applyNumberFormat="1" applyFont="1" applyBorder="1" applyAlignment="1">
      <alignment horizontal="center"/>
    </xf>
    <xf numFmtId="2" fontId="5" fillId="0" borderId="9" xfId="1" applyNumberFormat="1" applyFont="1" applyBorder="1" applyAlignment="1">
      <alignment horizontal="center"/>
    </xf>
    <xf numFmtId="2" fontId="5" fillId="0" borderId="10" xfId="1" applyNumberFormat="1" applyFont="1" applyBorder="1" applyAlignment="1">
      <alignment horizontal="center"/>
    </xf>
    <xf numFmtId="0" fontId="6" fillId="0" borderId="49" xfId="0" applyFont="1" applyBorder="1" applyAlignment="1">
      <alignment horizontal="left"/>
    </xf>
    <xf numFmtId="0" fontId="6" fillId="0" borderId="58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6" fillId="0" borderId="6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46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7" xfId="0" applyFont="1" applyBorder="1" applyAlignment="1">
      <alignment horizontal="left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0" borderId="13" xfId="0" quotePrefix="1" applyFont="1" applyFill="1" applyBorder="1" applyAlignment="1">
      <alignment horizontal="left" vertical="center"/>
    </xf>
    <xf numFmtId="0" fontId="5" fillId="0" borderId="2" xfId="0" quotePrefix="1" applyFont="1" applyFill="1" applyBorder="1" applyAlignment="1">
      <alignment horizontal="left" vertical="center"/>
    </xf>
    <xf numFmtId="0" fontId="5" fillId="0" borderId="14" xfId="0" quotePrefix="1" applyFont="1" applyFill="1" applyBorder="1" applyAlignment="1">
      <alignment horizontal="left" vertical="center"/>
    </xf>
    <xf numFmtId="0" fontId="5" fillId="0" borderId="35" xfId="0" quotePrefix="1" applyFont="1" applyFill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  <xf numFmtId="0" fontId="5" fillId="0" borderId="31" xfId="0" quotePrefix="1" applyFont="1" applyFill="1" applyBorder="1" applyAlignment="1">
      <alignment horizontal="left" vertical="center"/>
    </xf>
    <xf numFmtId="0" fontId="5" fillId="0" borderId="38" xfId="0" quotePrefix="1" applyFont="1" applyFill="1" applyBorder="1" applyAlignment="1">
      <alignment horizontal="left" vertical="center"/>
    </xf>
    <xf numFmtId="0" fontId="5" fillId="0" borderId="6" xfId="0" quotePrefix="1" applyFont="1" applyFill="1" applyBorder="1" applyAlignment="1">
      <alignment horizontal="left" vertical="center"/>
    </xf>
    <xf numFmtId="0" fontId="5" fillId="0" borderId="37" xfId="0" quotePrefix="1" applyFont="1" applyFill="1" applyBorder="1" applyAlignment="1">
      <alignment horizontal="left" vertical="center"/>
    </xf>
    <xf numFmtId="0" fontId="5" fillId="0" borderId="33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5" fillId="0" borderId="32" xfId="0" applyFont="1" applyFill="1" applyBorder="1" applyAlignment="1">
      <alignment horizontal="left"/>
    </xf>
    <xf numFmtId="0" fontId="5" fillId="0" borderId="33" xfId="0" quotePrefix="1" applyFont="1" applyFill="1" applyBorder="1" applyAlignment="1">
      <alignment horizontal="left" vertical="center"/>
    </xf>
    <xf numFmtId="0" fontId="5" fillId="0" borderId="5" xfId="0" quotePrefix="1" applyFont="1" applyFill="1" applyBorder="1" applyAlignment="1">
      <alignment horizontal="left" vertical="center"/>
    </xf>
    <xf numFmtId="0" fontId="5" fillId="0" borderId="32" xfId="0" quotePrefix="1" applyFont="1" applyFill="1" applyBorder="1" applyAlignment="1">
      <alignment horizontal="left" vertical="center"/>
    </xf>
    <xf numFmtId="0" fontId="5" fillId="0" borderId="33" xfId="0" quotePrefix="1" applyFont="1" applyFill="1" applyBorder="1" applyAlignment="1">
      <alignment horizontal="left"/>
    </xf>
    <xf numFmtId="0" fontId="5" fillId="0" borderId="5" xfId="0" quotePrefix="1" applyFont="1" applyFill="1" applyBorder="1" applyAlignment="1">
      <alignment horizontal="left"/>
    </xf>
    <xf numFmtId="0" fontId="5" fillId="0" borderId="32" xfId="0" quotePrefix="1" applyFont="1" applyFill="1" applyBorder="1" applyAlignment="1">
      <alignment horizontal="left"/>
    </xf>
    <xf numFmtId="0" fontId="14" fillId="0" borderId="33" xfId="0" quotePrefix="1" applyFont="1" applyFill="1" applyBorder="1" applyAlignment="1">
      <alignment horizontal="left"/>
    </xf>
    <xf numFmtId="0" fontId="14" fillId="0" borderId="5" xfId="0" quotePrefix="1" applyFont="1" applyFill="1" applyBorder="1" applyAlignment="1">
      <alignment horizontal="left"/>
    </xf>
    <xf numFmtId="0" fontId="14" fillId="0" borderId="32" xfId="0" quotePrefix="1" applyFont="1" applyFill="1" applyBorder="1" applyAlignment="1">
      <alignment horizontal="left"/>
    </xf>
    <xf numFmtId="0" fontId="5" fillId="0" borderId="60" xfId="0" quotePrefix="1" applyFont="1" applyFill="1" applyBorder="1" applyAlignment="1">
      <alignment horizontal="left" vertical="center"/>
    </xf>
    <xf numFmtId="0" fontId="5" fillId="0" borderId="51" xfId="0" quotePrefix="1" applyFont="1" applyFill="1" applyBorder="1" applyAlignment="1">
      <alignment horizontal="left" vertical="center"/>
    </xf>
    <xf numFmtId="0" fontId="5" fillId="0" borderId="34" xfId="0" quotePrefix="1" applyFont="1" applyFill="1" applyBorder="1" applyAlignment="1">
      <alignment horizontal="left" vertical="center"/>
    </xf>
    <xf numFmtId="0" fontId="5" fillId="0" borderId="18" xfId="0" quotePrefix="1" applyFont="1" applyFill="1" applyBorder="1" applyAlignment="1">
      <alignment horizontal="left" vertical="center"/>
    </xf>
    <xf numFmtId="0" fontId="5" fillId="0" borderId="9" xfId="0" quotePrefix="1" applyFont="1" applyFill="1" applyBorder="1" applyAlignment="1">
      <alignment horizontal="left" vertical="center"/>
    </xf>
    <xf numFmtId="0" fontId="5" fillId="0" borderId="19" xfId="0" quotePrefix="1" applyFont="1" applyFill="1" applyBorder="1" applyAlignment="1">
      <alignment horizontal="left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60" xfId="0" applyFont="1" applyFill="1" applyBorder="1" applyAlignment="1">
      <alignment horizontal="left" vertical="center"/>
    </xf>
    <xf numFmtId="0" fontId="5" fillId="0" borderId="51" xfId="0" applyFont="1" applyFill="1" applyBorder="1" applyAlignment="1">
      <alignment horizontal="left" vertical="center"/>
    </xf>
    <xf numFmtId="0" fontId="5" fillId="0" borderId="34" xfId="0" applyFont="1" applyFill="1" applyBorder="1" applyAlignment="1">
      <alignment horizontal="left" vertical="center"/>
    </xf>
    <xf numFmtId="0" fontId="2" fillId="0" borderId="38" xfId="0" quotePrefix="1" applyFont="1" applyFill="1" applyBorder="1" applyAlignment="1">
      <alignment horizontal="left"/>
    </xf>
    <xf numFmtId="0" fontId="2" fillId="0" borderId="6" xfId="0" quotePrefix="1" applyFont="1" applyFill="1" applyBorder="1" applyAlignment="1">
      <alignment horizontal="left"/>
    </xf>
    <xf numFmtId="0" fontId="2" fillId="0" borderId="37" xfId="0" quotePrefix="1" applyFont="1" applyFill="1" applyBorder="1" applyAlignment="1">
      <alignment horizontal="left"/>
    </xf>
    <xf numFmtId="0" fontId="2" fillId="0" borderId="60" xfId="0" quotePrefix="1" applyFont="1" applyFill="1" applyBorder="1" applyAlignment="1">
      <alignment horizontal="left"/>
    </xf>
    <xf numFmtId="0" fontId="2" fillId="0" borderId="51" xfId="0" quotePrefix="1" applyFont="1" applyFill="1" applyBorder="1" applyAlignment="1">
      <alignment horizontal="left"/>
    </xf>
    <xf numFmtId="0" fontId="2" fillId="0" borderId="34" xfId="0" quotePrefix="1" applyFont="1" applyFill="1" applyBorder="1" applyAlignment="1">
      <alignment horizontal="left"/>
    </xf>
    <xf numFmtId="0" fontId="10" fillId="0" borderId="33" xfId="0" quotePrefix="1" applyFont="1" applyBorder="1" applyAlignment="1">
      <alignment horizontal="left"/>
    </xf>
    <xf numFmtId="0" fontId="10" fillId="0" borderId="5" xfId="0" quotePrefix="1" applyFont="1" applyBorder="1" applyAlignment="1">
      <alignment horizontal="left"/>
    </xf>
    <xf numFmtId="0" fontId="10" fillId="0" borderId="32" xfId="0" quotePrefix="1" applyFont="1" applyBorder="1" applyAlignment="1">
      <alignment horizontal="left"/>
    </xf>
    <xf numFmtId="0" fontId="10" fillId="0" borderId="33" xfId="1" quotePrefix="1" applyFont="1" applyBorder="1" applyAlignment="1">
      <alignment horizontal="left"/>
    </xf>
    <xf numFmtId="0" fontId="10" fillId="0" borderId="5" xfId="1" quotePrefix="1" applyFont="1" applyBorder="1" applyAlignment="1">
      <alignment horizontal="left"/>
    </xf>
    <xf numFmtId="0" fontId="10" fillId="0" borderId="32" xfId="1" quotePrefix="1" applyFont="1" applyBorder="1" applyAlignment="1">
      <alignment horizontal="left"/>
    </xf>
    <xf numFmtId="0" fontId="10" fillId="0" borderId="48" xfId="1" quotePrefix="1" applyFont="1" applyBorder="1" applyAlignment="1">
      <alignment horizontal="left"/>
    </xf>
    <xf numFmtId="0" fontId="10" fillId="0" borderId="49" xfId="1" quotePrefix="1" applyFont="1" applyBorder="1" applyAlignment="1">
      <alignment horizontal="left"/>
    </xf>
    <xf numFmtId="0" fontId="10" fillId="0" borderId="52" xfId="1" quotePrefix="1" applyFont="1" applyBorder="1" applyAlignment="1">
      <alignment horizontal="left"/>
    </xf>
    <xf numFmtId="0" fontId="9" fillId="0" borderId="33" xfId="0" quotePrefix="1" applyFont="1" applyBorder="1" applyAlignment="1">
      <alignment horizontal="left"/>
    </xf>
    <xf numFmtId="0" fontId="9" fillId="0" borderId="5" xfId="0" quotePrefix="1" applyFont="1" applyBorder="1" applyAlignment="1">
      <alignment horizontal="left"/>
    </xf>
    <xf numFmtId="0" fontId="9" fillId="0" borderId="32" xfId="0" quotePrefix="1" applyFont="1" applyBorder="1" applyAlignment="1">
      <alignment horizontal="left"/>
    </xf>
    <xf numFmtId="0" fontId="9" fillId="0" borderId="48" xfId="0" quotePrefix="1" applyFont="1" applyBorder="1" applyAlignment="1">
      <alignment horizontal="left"/>
    </xf>
    <xf numFmtId="0" fontId="9" fillId="0" borderId="49" xfId="0" quotePrefix="1" applyFont="1" applyBorder="1" applyAlignment="1">
      <alignment horizontal="left"/>
    </xf>
    <xf numFmtId="0" fontId="9" fillId="0" borderId="52" xfId="0" quotePrefix="1" applyFont="1" applyBorder="1" applyAlignment="1">
      <alignment horizontal="left"/>
    </xf>
    <xf numFmtId="0" fontId="2" fillId="0" borderId="33" xfId="0" quotePrefix="1" applyFont="1" applyBorder="1" applyAlignment="1">
      <alignment horizontal="left"/>
    </xf>
    <xf numFmtId="0" fontId="2" fillId="0" borderId="5" xfId="0" quotePrefix="1" applyFont="1" applyBorder="1" applyAlignment="1">
      <alignment horizontal="left"/>
    </xf>
    <xf numFmtId="0" fontId="2" fillId="0" borderId="32" xfId="0" quotePrefix="1" applyFont="1" applyBorder="1" applyAlignment="1">
      <alignment horizontal="left"/>
    </xf>
  </cellXfs>
  <cellStyles count="3">
    <cellStyle name="Normal" xfId="0" builtinId="0"/>
    <cellStyle name="Normal 2" xfId="1" xr:uid="{196D9AE9-FA0F-43FF-A1A5-F6E60711AFE5}"/>
    <cellStyle name="Normal 3" xfId="2" xr:uid="{51DF5304-9F4A-4149-AD1D-52D3EE76B6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1</xdr:row>
          <xdr:rowOff>28575</xdr:rowOff>
        </xdr:from>
        <xdr:to>
          <xdr:col>22</xdr:col>
          <xdr:colOff>257175</xdr:colOff>
          <xdr:row>5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CD216B6-CD15-6CFB-9A5B-8FE7366BFA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</a:rPr>
                <a:t>STYLE TEXT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142875</xdr:colOff>
          <xdr:row>5</xdr:row>
          <xdr:rowOff>238125</xdr:rowOff>
        </xdr:from>
        <xdr:to>
          <xdr:col>22</xdr:col>
          <xdr:colOff>238125</xdr:colOff>
          <xdr:row>7</xdr:row>
          <xdr:rowOff>76200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A3962B6-5D10-23A8-F9E7-EB45A822D5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</a:rPr>
                <a:t>BORDERS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1F7C-4D37-4BA0-8A24-0D230BCF5AE9}">
  <sheetPr codeName="Sheet1">
    <tabColor rgb="FF00B050"/>
    <pageSetUpPr fitToPage="1"/>
  </sheetPr>
  <dimension ref="A1:X46"/>
  <sheetViews>
    <sheetView showGridLines="0" zoomScaleNormal="100" workbookViewId="0">
      <selection activeCell="Y14" sqref="Y14"/>
    </sheetView>
  </sheetViews>
  <sheetFormatPr defaultColWidth="9.28515625" defaultRowHeight="14.1" customHeight="1" x14ac:dyDescent="0.25"/>
  <cols>
    <col min="1" max="1" width="4" style="1" customWidth="1"/>
    <col min="2" max="5" width="4" style="2" customWidth="1"/>
    <col min="6" max="6" width="17.28515625" style="2" customWidth="1"/>
    <col min="7" max="7" width="18.7109375" style="2" customWidth="1"/>
    <col min="8" max="8" width="1.7109375" style="1" customWidth="1"/>
    <col min="9" max="9" width="6.7109375" style="1" customWidth="1"/>
    <col min="10" max="10" width="4" style="2" customWidth="1"/>
    <col min="11" max="11" width="6.7109375" style="2" customWidth="1"/>
    <col min="12" max="12" width="3.5703125" style="2" customWidth="1"/>
    <col min="13" max="13" width="9.5703125" style="2" customWidth="1"/>
    <col min="14" max="14" width="25.7109375" style="2" customWidth="1"/>
    <col min="15" max="15" width="4" style="1" customWidth="1"/>
    <col min="16" max="19" width="4" style="2" customWidth="1"/>
    <col min="20" max="20" width="3.28515625" style="2" customWidth="1"/>
    <col min="21" max="21" width="0" style="1" hidden="1" customWidth="1"/>
    <col min="22" max="23" width="9.28515625" style="1"/>
    <col min="24" max="24" width="8.5703125" style="1" customWidth="1"/>
    <col min="25" max="16384" width="9.28515625" style="1"/>
  </cols>
  <sheetData>
    <row r="1" spans="1:24" ht="14.1" customHeight="1" thickBot="1" x14ac:dyDescent="0.3"/>
    <row r="2" spans="1:24" ht="14.1" customHeight="1" x14ac:dyDescent="0.25">
      <c r="A2" s="228"/>
      <c r="B2" s="229"/>
      <c r="C2" s="229"/>
      <c r="D2" s="229"/>
      <c r="E2" s="229"/>
      <c r="F2" s="230" t="s">
        <v>0</v>
      </c>
      <c r="G2" s="231" t="s">
        <v>130</v>
      </c>
      <c r="H2" s="208"/>
      <c r="I2" s="230" t="s">
        <v>1</v>
      </c>
      <c r="J2" s="230"/>
      <c r="K2" s="231">
        <v>4</v>
      </c>
      <c r="L2" s="207"/>
      <c r="M2" s="230" t="s">
        <v>2</v>
      </c>
      <c r="N2" s="231" t="s">
        <v>46</v>
      </c>
      <c r="O2" s="207"/>
      <c r="P2" s="232" t="s">
        <v>3</v>
      </c>
      <c r="Q2" s="232"/>
      <c r="R2" s="232"/>
      <c r="S2" s="233"/>
    </row>
    <row r="3" spans="1:24" ht="16.149999999999999" customHeight="1" x14ac:dyDescent="0.25">
      <c r="A3" s="344" t="s">
        <v>138</v>
      </c>
      <c r="B3" s="345"/>
      <c r="C3" s="345"/>
      <c r="D3" s="345"/>
      <c r="E3" s="345"/>
      <c r="F3" s="234" t="s">
        <v>4</v>
      </c>
      <c r="G3" s="235" t="s">
        <v>144</v>
      </c>
      <c r="H3" s="192"/>
      <c r="I3" s="234" t="s">
        <v>5</v>
      </c>
      <c r="J3" s="234"/>
      <c r="K3" s="204">
        <v>3</v>
      </c>
      <c r="L3" s="192"/>
      <c r="M3" s="234" t="s">
        <v>6</v>
      </c>
      <c r="N3" s="236">
        <v>14711</v>
      </c>
      <c r="O3" s="192"/>
      <c r="P3" s="220"/>
      <c r="Q3" s="235"/>
      <c r="R3" s="235"/>
      <c r="S3" s="237"/>
      <c r="U3" s="16"/>
      <c r="V3" s="16"/>
      <c r="W3" s="16"/>
      <c r="X3" s="16"/>
    </row>
    <row r="4" spans="1:24" ht="14.1" customHeight="1" x14ac:dyDescent="0.25">
      <c r="A4" s="344"/>
      <c r="B4" s="345"/>
      <c r="C4" s="345"/>
      <c r="D4" s="345"/>
      <c r="E4" s="345"/>
      <c r="F4" s="234" t="s">
        <v>7</v>
      </c>
      <c r="G4" s="238" t="s">
        <v>146</v>
      </c>
      <c r="H4" s="192"/>
      <c r="I4" s="234" t="s">
        <v>8</v>
      </c>
      <c r="J4" s="234"/>
      <c r="K4" s="204" t="s">
        <v>73</v>
      </c>
      <c r="L4" s="192"/>
      <c r="M4" s="234" t="s">
        <v>9</v>
      </c>
      <c r="N4" s="238" t="s">
        <v>96</v>
      </c>
      <c r="O4" s="192"/>
      <c r="P4" s="213"/>
      <c r="Q4" s="204"/>
      <c r="R4" s="204"/>
      <c r="S4" s="215"/>
      <c r="U4" s="16"/>
      <c r="V4" s="16"/>
      <c r="W4" s="16"/>
      <c r="X4" s="16"/>
    </row>
    <row r="5" spans="1:24" ht="6" customHeight="1" thickBot="1" x14ac:dyDescent="0.3">
      <c r="A5" s="346"/>
      <c r="B5" s="347"/>
      <c r="C5" s="347"/>
      <c r="D5" s="347"/>
      <c r="E5" s="347"/>
      <c r="F5" s="239"/>
      <c r="G5" s="240"/>
      <c r="H5" s="240"/>
      <c r="I5" s="239"/>
      <c r="J5" s="239"/>
      <c r="K5" s="239"/>
      <c r="L5" s="239"/>
      <c r="M5" s="239"/>
      <c r="N5" s="240"/>
      <c r="O5" s="239"/>
      <c r="P5" s="239"/>
      <c r="Q5" s="239"/>
      <c r="R5" s="239"/>
      <c r="S5" s="241"/>
      <c r="U5" s="16"/>
      <c r="V5" s="16"/>
      <c r="W5" s="16"/>
      <c r="X5" s="16"/>
    </row>
    <row r="6" spans="1:24" s="270" customFormat="1" ht="31.15" customHeight="1" x14ac:dyDescent="0.2">
      <c r="A6" s="348" t="s">
        <v>39</v>
      </c>
      <c r="B6" s="342" t="s">
        <v>10</v>
      </c>
      <c r="C6" s="342" t="s">
        <v>11</v>
      </c>
      <c r="D6" s="350" t="s">
        <v>12</v>
      </c>
      <c r="E6" s="351"/>
      <c r="F6" s="352" t="s">
        <v>38</v>
      </c>
      <c r="G6" s="353"/>
      <c r="H6" s="354"/>
      <c r="I6" s="373" t="s">
        <v>14</v>
      </c>
      <c r="J6" s="342" t="s">
        <v>15</v>
      </c>
      <c r="K6" s="373" t="s">
        <v>14</v>
      </c>
      <c r="L6" s="352" t="s">
        <v>13</v>
      </c>
      <c r="M6" s="353"/>
      <c r="N6" s="354"/>
      <c r="O6" s="375" t="s">
        <v>12</v>
      </c>
      <c r="P6" s="375"/>
      <c r="Q6" s="342" t="s">
        <v>11</v>
      </c>
      <c r="R6" s="342" t="s">
        <v>10</v>
      </c>
      <c r="S6" s="361" t="s">
        <v>39</v>
      </c>
      <c r="U6" s="271"/>
      <c r="V6" s="271"/>
      <c r="W6" s="271"/>
      <c r="X6" s="271"/>
    </row>
    <row r="7" spans="1:24" s="270" customFormat="1" ht="13.9" customHeight="1" thickBot="1" x14ac:dyDescent="0.25">
      <c r="A7" s="349"/>
      <c r="B7" s="343"/>
      <c r="C7" s="343"/>
      <c r="D7" s="269" t="s">
        <v>16</v>
      </c>
      <c r="E7" s="276" t="s">
        <v>17</v>
      </c>
      <c r="F7" s="355"/>
      <c r="G7" s="356"/>
      <c r="H7" s="357"/>
      <c r="I7" s="374"/>
      <c r="J7" s="343"/>
      <c r="K7" s="374"/>
      <c r="L7" s="355"/>
      <c r="M7" s="356"/>
      <c r="N7" s="357"/>
      <c r="O7" s="276" t="s">
        <v>16</v>
      </c>
      <c r="P7" s="276" t="s">
        <v>17</v>
      </c>
      <c r="Q7" s="343"/>
      <c r="R7" s="343"/>
      <c r="S7" s="362"/>
      <c r="U7" s="271"/>
      <c r="V7" s="271"/>
      <c r="W7" s="271"/>
      <c r="X7" s="271"/>
    </row>
    <row r="8" spans="1:24" ht="13.15" customHeight="1" x14ac:dyDescent="0.25">
      <c r="A8" s="175">
        <v>1</v>
      </c>
      <c r="B8" s="284"/>
      <c r="C8" s="253" t="s">
        <v>81</v>
      </c>
      <c r="D8" s="363">
        <v>3</v>
      </c>
      <c r="E8" s="363">
        <v>60</v>
      </c>
      <c r="F8" s="364" t="s">
        <v>140</v>
      </c>
      <c r="G8" s="365"/>
      <c r="H8" s="366"/>
      <c r="I8" s="254">
        <f>57*0.831/3</f>
        <v>15.789</v>
      </c>
      <c r="J8" s="203" t="s">
        <v>18</v>
      </c>
      <c r="K8" s="292" t="e">
        <f>#REF!</f>
        <v>#REF!</v>
      </c>
      <c r="L8" s="426" t="s">
        <v>129</v>
      </c>
      <c r="M8" s="427"/>
      <c r="N8" s="428"/>
      <c r="O8" s="435">
        <v>3</v>
      </c>
      <c r="P8" s="435">
        <v>100</v>
      </c>
      <c r="Q8" s="293" t="s">
        <v>40</v>
      </c>
      <c r="R8" s="284"/>
      <c r="S8" s="185">
        <v>2</v>
      </c>
      <c r="U8" s="16"/>
      <c r="V8" s="16"/>
      <c r="W8" s="16"/>
      <c r="X8" s="16"/>
    </row>
    <row r="9" spans="1:24" ht="13.15" customHeight="1" x14ac:dyDescent="0.25">
      <c r="A9" s="177">
        <v>3</v>
      </c>
      <c r="B9" s="284"/>
      <c r="C9" s="253" t="s">
        <v>81</v>
      </c>
      <c r="D9" s="340"/>
      <c r="E9" s="340"/>
      <c r="F9" s="367"/>
      <c r="G9" s="368"/>
      <c r="H9" s="369"/>
      <c r="I9" s="255">
        <f>I8</f>
        <v>15.789</v>
      </c>
      <c r="J9" s="187" t="s">
        <v>20</v>
      </c>
      <c r="K9" s="278" t="e">
        <f>#REF!</f>
        <v>#REF!</v>
      </c>
      <c r="L9" s="429"/>
      <c r="M9" s="430"/>
      <c r="N9" s="431"/>
      <c r="O9" s="436"/>
      <c r="P9" s="436"/>
      <c r="Q9" s="293" t="s">
        <v>40</v>
      </c>
      <c r="R9" s="258"/>
      <c r="S9" s="186">
        <v>4</v>
      </c>
      <c r="U9" s="51">
        <f>SUMIF($C$8:$C$28,"=M",$I$8:$I$28)+SUMIF($Q$8:$Q$28,"=M",$K$8:$K$28)</f>
        <v>56.165199999999992</v>
      </c>
      <c r="V9" s="16"/>
      <c r="W9" s="16"/>
      <c r="X9" s="16"/>
    </row>
    <row r="10" spans="1:24" ht="13.15" customHeight="1" x14ac:dyDescent="0.25">
      <c r="A10" s="177">
        <v>5</v>
      </c>
      <c r="B10" s="284"/>
      <c r="C10" s="253" t="s">
        <v>81</v>
      </c>
      <c r="D10" s="341"/>
      <c r="E10" s="341"/>
      <c r="F10" s="370"/>
      <c r="G10" s="371"/>
      <c r="H10" s="372"/>
      <c r="I10" s="254">
        <f>I8</f>
        <v>15.789</v>
      </c>
      <c r="J10" s="187" t="s">
        <v>19</v>
      </c>
      <c r="K10" s="278" t="e">
        <f>#REF!</f>
        <v>#REF!</v>
      </c>
      <c r="L10" s="432"/>
      <c r="M10" s="433"/>
      <c r="N10" s="434"/>
      <c r="O10" s="437"/>
      <c r="P10" s="437"/>
      <c r="Q10" s="293" t="s">
        <v>40</v>
      </c>
      <c r="R10" s="258"/>
      <c r="S10" s="186">
        <v>6</v>
      </c>
      <c r="T10" s="192"/>
      <c r="U10" s="51">
        <f>SUMIF($C$8:$C$28,"=ML",$I$8:$I$28)+SUMIF($Q$8:$Q$28,"=ML",$K$8:$K$28)</f>
        <v>47.366999999999997</v>
      </c>
      <c r="V10" s="16"/>
      <c r="W10" s="16"/>
      <c r="X10" s="16"/>
    </row>
    <row r="11" spans="1:24" ht="13.15" customHeight="1" x14ac:dyDescent="0.25">
      <c r="A11" s="177">
        <v>7</v>
      </c>
      <c r="B11" s="284"/>
      <c r="C11" s="253" t="s">
        <v>82</v>
      </c>
      <c r="D11" s="340">
        <v>3</v>
      </c>
      <c r="E11" s="340">
        <v>40</v>
      </c>
      <c r="F11" s="367" t="s">
        <v>139</v>
      </c>
      <c r="G11" s="368"/>
      <c r="H11" s="369"/>
      <c r="I11" s="256">
        <f>10*0.46*1.732/3</f>
        <v>2.6557333333333335</v>
      </c>
      <c r="J11" s="187" t="s">
        <v>18</v>
      </c>
      <c r="K11" s="259"/>
      <c r="L11" s="376" t="s">
        <v>145</v>
      </c>
      <c r="M11" s="377"/>
      <c r="N11" s="378"/>
      <c r="O11" s="288">
        <v>1</v>
      </c>
      <c r="P11" s="258">
        <v>20</v>
      </c>
      <c r="Q11" s="253" t="s">
        <v>40</v>
      </c>
      <c r="R11" s="258"/>
      <c r="S11" s="186">
        <v>8</v>
      </c>
      <c r="T11" s="192"/>
      <c r="U11" s="16">
        <f>SUMIF($C$8:$C$28,"=K",$I$8:$I$28)+SUMIF($Q$8:$Q$28,"=K",$K$8:$K$28)</f>
        <v>0</v>
      </c>
      <c r="V11" s="16"/>
      <c r="W11" s="16"/>
      <c r="X11" s="16"/>
    </row>
    <row r="12" spans="1:24" ht="13.15" customHeight="1" x14ac:dyDescent="0.25">
      <c r="A12" s="177">
        <v>9</v>
      </c>
      <c r="B12" s="284"/>
      <c r="C12" s="253" t="s">
        <v>82</v>
      </c>
      <c r="D12" s="340"/>
      <c r="E12" s="340"/>
      <c r="F12" s="367"/>
      <c r="G12" s="368"/>
      <c r="H12" s="369"/>
      <c r="I12" s="256">
        <f>I11</f>
        <v>2.6557333333333335</v>
      </c>
      <c r="J12" s="187" t="s">
        <v>20</v>
      </c>
      <c r="K12" s="259"/>
      <c r="L12" s="376" t="s">
        <v>145</v>
      </c>
      <c r="M12" s="377"/>
      <c r="N12" s="378"/>
      <c r="O12" s="286">
        <v>1</v>
      </c>
      <c r="P12" s="258">
        <v>20</v>
      </c>
      <c r="Q12" s="260" t="s">
        <v>19</v>
      </c>
      <c r="R12" s="258"/>
      <c r="S12" s="186">
        <v>10</v>
      </c>
      <c r="T12" s="192"/>
      <c r="U12" s="16">
        <f>SUMIF($C$8:$C$28,"=KL",$I$8:$I$28)+SUMIF($Q$8:$Q$28,"=KL",$K$8:$K$28)</f>
        <v>0</v>
      </c>
      <c r="V12" s="16"/>
      <c r="W12" s="16"/>
      <c r="X12" s="16"/>
    </row>
    <row r="13" spans="1:24" ht="13.15" customHeight="1" x14ac:dyDescent="0.25">
      <c r="A13" s="177">
        <v>11</v>
      </c>
      <c r="B13" s="284"/>
      <c r="C13" s="253" t="s">
        <v>82</v>
      </c>
      <c r="D13" s="341"/>
      <c r="E13" s="341"/>
      <c r="F13" s="370"/>
      <c r="G13" s="371"/>
      <c r="H13" s="372"/>
      <c r="I13" s="285">
        <f>I11</f>
        <v>2.6557333333333335</v>
      </c>
      <c r="J13" s="187" t="s">
        <v>19</v>
      </c>
      <c r="K13" s="259"/>
      <c r="L13" s="376" t="s">
        <v>62</v>
      </c>
      <c r="M13" s="377"/>
      <c r="N13" s="378"/>
      <c r="O13" s="286">
        <v>1</v>
      </c>
      <c r="P13" s="258">
        <v>20</v>
      </c>
      <c r="Q13" s="260"/>
      <c r="R13" s="258"/>
      <c r="S13" s="186">
        <v>12</v>
      </c>
      <c r="T13" s="192"/>
      <c r="U13" s="16">
        <f>IF(N34=90%,0.9,1)</f>
        <v>1</v>
      </c>
      <c r="V13" s="16"/>
      <c r="W13" s="16"/>
      <c r="X13" s="16"/>
    </row>
    <row r="14" spans="1:24" ht="13.15" customHeight="1" x14ac:dyDescent="0.25">
      <c r="A14" s="179">
        <v>13</v>
      </c>
      <c r="B14" s="284"/>
      <c r="C14" s="260"/>
      <c r="D14" s="258">
        <v>1</v>
      </c>
      <c r="E14" s="258">
        <v>20</v>
      </c>
      <c r="F14" s="358" t="s">
        <v>62</v>
      </c>
      <c r="G14" s="359"/>
      <c r="H14" s="360"/>
      <c r="I14" s="256"/>
      <c r="J14" s="187" t="s">
        <v>18</v>
      </c>
      <c r="K14" s="259"/>
      <c r="L14" s="376" t="s">
        <v>62</v>
      </c>
      <c r="M14" s="377"/>
      <c r="N14" s="378"/>
      <c r="O14" s="258">
        <v>1</v>
      </c>
      <c r="P14" s="258">
        <v>20</v>
      </c>
      <c r="Q14" s="253"/>
      <c r="R14" s="258"/>
      <c r="S14" s="186">
        <v>14</v>
      </c>
      <c r="T14" s="192"/>
      <c r="U14" s="16">
        <f>IF(N34=80%,0.8,1)</f>
        <v>1</v>
      </c>
      <c r="V14" s="16"/>
      <c r="W14" s="16"/>
      <c r="X14" s="16"/>
    </row>
    <row r="15" spans="1:24" ht="13.15" customHeight="1" x14ac:dyDescent="0.25">
      <c r="A15" s="180">
        <v>15</v>
      </c>
      <c r="B15" s="284"/>
      <c r="C15" s="260"/>
      <c r="D15" s="258">
        <v>1</v>
      </c>
      <c r="E15" s="258">
        <v>20</v>
      </c>
      <c r="F15" s="358" t="s">
        <v>62</v>
      </c>
      <c r="G15" s="359"/>
      <c r="H15" s="360"/>
      <c r="I15" s="256"/>
      <c r="J15" s="190" t="s">
        <v>20</v>
      </c>
      <c r="K15" s="259"/>
      <c r="L15" s="376" t="s">
        <v>62</v>
      </c>
      <c r="M15" s="377"/>
      <c r="N15" s="378"/>
      <c r="O15" s="258">
        <v>1</v>
      </c>
      <c r="P15" s="258">
        <v>20</v>
      </c>
      <c r="Q15" s="253"/>
      <c r="R15" s="258"/>
      <c r="S15" s="189">
        <v>16</v>
      </c>
      <c r="T15" s="192"/>
      <c r="U15" s="16">
        <f>IF(N34=70%,0.7,1)</f>
        <v>1</v>
      </c>
      <c r="V15" s="16"/>
      <c r="W15" s="16"/>
      <c r="X15" s="16"/>
    </row>
    <row r="16" spans="1:24" ht="13.15" customHeight="1" x14ac:dyDescent="0.25">
      <c r="A16" s="179">
        <v>17</v>
      </c>
      <c r="B16" s="284"/>
      <c r="C16" s="260"/>
      <c r="D16" s="258">
        <v>1</v>
      </c>
      <c r="E16" s="258">
        <v>20</v>
      </c>
      <c r="F16" s="358" t="s">
        <v>62</v>
      </c>
      <c r="G16" s="359"/>
      <c r="H16" s="360"/>
      <c r="I16" s="256"/>
      <c r="J16" s="187" t="s">
        <v>19</v>
      </c>
      <c r="K16" s="259"/>
      <c r="L16" s="376" t="s">
        <v>62</v>
      </c>
      <c r="M16" s="377"/>
      <c r="N16" s="378"/>
      <c r="O16" s="258">
        <v>1</v>
      </c>
      <c r="P16" s="258">
        <v>20</v>
      </c>
      <c r="Q16" s="289"/>
      <c r="R16" s="258"/>
      <c r="S16" s="186">
        <v>18</v>
      </c>
      <c r="T16" s="192"/>
      <c r="U16" s="16">
        <f>IF(N34=65%,0.65,1)</f>
        <v>0.65</v>
      </c>
      <c r="V16" s="16"/>
      <c r="W16" s="16"/>
      <c r="X16" s="16"/>
    </row>
    <row r="17" spans="1:24" ht="13.15" customHeight="1" x14ac:dyDescent="0.25">
      <c r="A17" s="179">
        <v>19</v>
      </c>
      <c r="B17" s="284"/>
      <c r="C17" s="260"/>
      <c r="D17" s="258">
        <v>1</v>
      </c>
      <c r="E17" s="258">
        <v>20</v>
      </c>
      <c r="F17" s="358" t="s">
        <v>62</v>
      </c>
      <c r="G17" s="359"/>
      <c r="H17" s="360"/>
      <c r="I17" s="285"/>
      <c r="J17" s="187" t="s">
        <v>18</v>
      </c>
      <c r="K17" s="259"/>
      <c r="L17" s="376" t="s">
        <v>62</v>
      </c>
      <c r="M17" s="377"/>
      <c r="N17" s="378"/>
      <c r="O17" s="258">
        <v>1</v>
      </c>
      <c r="P17" s="258">
        <v>20</v>
      </c>
      <c r="Q17" s="253"/>
      <c r="R17" s="258"/>
      <c r="S17" s="189">
        <v>20</v>
      </c>
      <c r="T17" s="192"/>
      <c r="U17" s="16"/>
      <c r="V17" s="16"/>
      <c r="W17" s="16"/>
      <c r="X17" s="16"/>
    </row>
    <row r="18" spans="1:24" ht="13.15" customHeight="1" x14ac:dyDescent="0.25">
      <c r="A18" s="179">
        <v>21</v>
      </c>
      <c r="B18" s="284"/>
      <c r="C18" s="260"/>
      <c r="D18" s="258">
        <v>1</v>
      </c>
      <c r="E18" s="258">
        <v>20</v>
      </c>
      <c r="F18" s="358" t="s">
        <v>62</v>
      </c>
      <c r="G18" s="359"/>
      <c r="H18" s="360"/>
      <c r="I18" s="285"/>
      <c r="J18" s="187" t="s">
        <v>20</v>
      </c>
      <c r="K18" s="259"/>
      <c r="L18" s="376" t="s">
        <v>62</v>
      </c>
      <c r="M18" s="377"/>
      <c r="N18" s="378"/>
      <c r="O18" s="258">
        <v>1</v>
      </c>
      <c r="P18" s="258">
        <v>20</v>
      </c>
      <c r="Q18" s="289"/>
      <c r="R18" s="258"/>
      <c r="S18" s="186">
        <v>22</v>
      </c>
      <c r="T18" s="192"/>
      <c r="U18" s="16"/>
      <c r="V18" s="16"/>
      <c r="W18" s="16"/>
      <c r="X18" s="16"/>
    </row>
    <row r="19" spans="1:24" ht="13.15" customHeight="1" x14ac:dyDescent="0.25">
      <c r="A19" s="179">
        <v>23</v>
      </c>
      <c r="B19" s="284"/>
      <c r="C19" s="258"/>
      <c r="D19" s="258">
        <v>1</v>
      </c>
      <c r="E19" s="258">
        <v>20</v>
      </c>
      <c r="F19" s="358" t="s">
        <v>62</v>
      </c>
      <c r="G19" s="359"/>
      <c r="H19" s="360"/>
      <c r="I19" s="285"/>
      <c r="J19" s="190" t="s">
        <v>19</v>
      </c>
      <c r="K19" s="285"/>
      <c r="L19" s="376" t="s">
        <v>62</v>
      </c>
      <c r="M19" s="377"/>
      <c r="N19" s="378"/>
      <c r="O19" s="258">
        <v>1</v>
      </c>
      <c r="P19" s="258">
        <v>20</v>
      </c>
      <c r="Q19" s="253"/>
      <c r="R19" s="258"/>
      <c r="S19" s="186">
        <v>24</v>
      </c>
      <c r="T19" s="192"/>
      <c r="U19" s="16"/>
      <c r="V19" s="16"/>
      <c r="W19" s="16"/>
      <c r="X19" s="16"/>
    </row>
    <row r="20" spans="1:24" ht="13.15" customHeight="1" x14ac:dyDescent="0.25">
      <c r="A20" s="180">
        <v>25</v>
      </c>
      <c r="B20" s="284"/>
      <c r="C20" s="260"/>
      <c r="D20" s="258"/>
      <c r="E20" s="258"/>
      <c r="F20" s="358" t="s">
        <v>66</v>
      </c>
      <c r="G20" s="359"/>
      <c r="H20" s="360"/>
      <c r="I20" s="285"/>
      <c r="J20" s="187" t="s">
        <v>18</v>
      </c>
      <c r="K20" s="259">
        <f>58*0.831/3</f>
        <v>16.065999999999999</v>
      </c>
      <c r="L20" s="367" t="s">
        <v>98</v>
      </c>
      <c r="M20" s="368"/>
      <c r="N20" s="369"/>
      <c r="O20" s="339">
        <v>3</v>
      </c>
      <c r="P20" s="339">
        <v>60</v>
      </c>
      <c r="Q20" s="289" t="s">
        <v>82</v>
      </c>
      <c r="R20" s="258"/>
      <c r="S20" s="186">
        <v>26</v>
      </c>
      <c r="T20" s="192"/>
      <c r="U20" s="16"/>
      <c r="V20" s="16"/>
      <c r="W20" s="16"/>
      <c r="X20" s="16"/>
    </row>
    <row r="21" spans="1:24" ht="13.15" customHeight="1" x14ac:dyDescent="0.25">
      <c r="A21" s="179">
        <v>27</v>
      </c>
      <c r="B21" s="284"/>
      <c r="C21" s="260"/>
      <c r="D21" s="258"/>
      <c r="E21" s="258"/>
      <c r="F21" s="358" t="s">
        <v>66</v>
      </c>
      <c r="G21" s="359"/>
      <c r="H21" s="360"/>
      <c r="I21" s="285"/>
      <c r="J21" s="187" t="s">
        <v>20</v>
      </c>
      <c r="K21" s="290">
        <f>K20</f>
        <v>16.065999999999999</v>
      </c>
      <c r="L21" s="367"/>
      <c r="M21" s="368"/>
      <c r="N21" s="369"/>
      <c r="O21" s="340"/>
      <c r="P21" s="340"/>
      <c r="Q21" s="289" t="s">
        <v>82</v>
      </c>
      <c r="R21" s="258"/>
      <c r="S21" s="186">
        <v>28</v>
      </c>
      <c r="T21" s="192"/>
      <c r="U21" s="16"/>
      <c r="V21" s="16"/>
      <c r="W21" s="16"/>
      <c r="X21" s="16"/>
    </row>
    <row r="22" spans="1:24" ht="13.15" customHeight="1" x14ac:dyDescent="0.25">
      <c r="A22" s="182">
        <v>29</v>
      </c>
      <c r="B22" s="284"/>
      <c r="C22" s="260"/>
      <c r="D22" s="258"/>
      <c r="E22" s="258"/>
      <c r="F22" s="358" t="s">
        <v>66</v>
      </c>
      <c r="G22" s="359"/>
      <c r="H22" s="360"/>
      <c r="I22" s="285"/>
      <c r="J22" s="191" t="s">
        <v>19</v>
      </c>
      <c r="K22" s="259">
        <f>K20</f>
        <v>16.065999999999999</v>
      </c>
      <c r="L22" s="370"/>
      <c r="M22" s="371"/>
      <c r="N22" s="372"/>
      <c r="O22" s="341"/>
      <c r="P22" s="341"/>
      <c r="Q22" s="289" t="s">
        <v>82</v>
      </c>
      <c r="R22" s="258"/>
      <c r="S22" s="225">
        <v>30</v>
      </c>
      <c r="T22" s="192"/>
      <c r="U22" s="16"/>
      <c r="V22" s="16"/>
      <c r="W22" s="16"/>
      <c r="X22" s="16"/>
    </row>
    <row r="23" spans="1:24" ht="13.15" customHeight="1" x14ac:dyDescent="0.25">
      <c r="A23" s="179">
        <v>31</v>
      </c>
      <c r="B23" s="284"/>
      <c r="C23" s="253"/>
      <c r="D23" s="258"/>
      <c r="E23" s="258"/>
      <c r="F23" s="358" t="s">
        <v>66</v>
      </c>
      <c r="G23" s="359"/>
      <c r="H23" s="360"/>
      <c r="I23" s="254"/>
      <c r="J23" s="187" t="s">
        <v>18</v>
      </c>
      <c r="K23" s="259"/>
      <c r="L23" s="358" t="s">
        <v>66</v>
      </c>
      <c r="M23" s="359"/>
      <c r="N23" s="360"/>
      <c r="O23" s="258"/>
      <c r="P23" s="258"/>
      <c r="Q23" s="253"/>
      <c r="R23" s="258"/>
      <c r="S23" s="186">
        <v>32</v>
      </c>
      <c r="U23" s="16"/>
      <c r="V23" s="16"/>
      <c r="W23" s="16"/>
      <c r="X23" s="16"/>
    </row>
    <row r="24" spans="1:24" ht="13.15" customHeight="1" x14ac:dyDescent="0.25">
      <c r="A24" s="179">
        <v>33</v>
      </c>
      <c r="B24" s="284"/>
      <c r="C24" s="253"/>
      <c r="D24" s="258"/>
      <c r="E24" s="258"/>
      <c r="F24" s="358" t="s">
        <v>66</v>
      </c>
      <c r="G24" s="359"/>
      <c r="H24" s="360"/>
      <c r="I24" s="255"/>
      <c r="J24" s="187" t="s">
        <v>20</v>
      </c>
      <c r="K24" s="285"/>
      <c r="L24" s="358" t="s">
        <v>66</v>
      </c>
      <c r="M24" s="359"/>
      <c r="N24" s="360"/>
      <c r="O24" s="258"/>
      <c r="P24" s="258"/>
      <c r="Q24" s="253"/>
      <c r="R24" s="258"/>
      <c r="S24" s="186">
        <v>34</v>
      </c>
      <c r="U24" s="16"/>
      <c r="V24" s="16"/>
      <c r="W24" s="16"/>
      <c r="X24" s="16"/>
    </row>
    <row r="25" spans="1:24" ht="13.15" customHeight="1" x14ac:dyDescent="0.25">
      <c r="A25" s="179">
        <v>35</v>
      </c>
      <c r="B25" s="284"/>
      <c r="C25" s="253"/>
      <c r="D25" s="258"/>
      <c r="E25" s="258"/>
      <c r="F25" s="358" t="s">
        <v>66</v>
      </c>
      <c r="G25" s="359"/>
      <c r="H25" s="360"/>
      <c r="I25" s="254"/>
      <c r="J25" s="187" t="s">
        <v>19</v>
      </c>
      <c r="K25" s="285"/>
      <c r="L25" s="358" t="s">
        <v>66</v>
      </c>
      <c r="M25" s="359"/>
      <c r="N25" s="360"/>
      <c r="O25" s="258"/>
      <c r="P25" s="258"/>
      <c r="Q25" s="260"/>
      <c r="R25" s="258"/>
      <c r="S25" s="186">
        <v>36</v>
      </c>
      <c r="U25" s="16"/>
      <c r="V25" s="16"/>
      <c r="W25" s="16"/>
      <c r="X25" s="16"/>
    </row>
    <row r="26" spans="1:24" ht="13.15" customHeight="1" x14ac:dyDescent="0.25">
      <c r="A26" s="179">
        <v>37</v>
      </c>
      <c r="B26" s="284"/>
      <c r="C26" s="286"/>
      <c r="D26" s="258"/>
      <c r="E26" s="258"/>
      <c r="F26" s="358" t="s">
        <v>66</v>
      </c>
      <c r="G26" s="359"/>
      <c r="H26" s="360"/>
      <c r="I26" s="285"/>
      <c r="J26" s="187" t="s">
        <v>18</v>
      </c>
      <c r="K26" s="259"/>
      <c r="L26" s="358" t="s">
        <v>66</v>
      </c>
      <c r="M26" s="359"/>
      <c r="N26" s="360"/>
      <c r="O26" s="258"/>
      <c r="P26" s="258"/>
      <c r="Q26" s="253"/>
      <c r="R26" s="284"/>
      <c r="S26" s="247">
        <v>38</v>
      </c>
      <c r="U26" s="16"/>
      <c r="V26" s="16"/>
      <c r="W26" s="16"/>
      <c r="X26" s="16"/>
    </row>
    <row r="27" spans="1:24" ht="13.15" customHeight="1" x14ac:dyDescent="0.25">
      <c r="A27" s="180">
        <v>39</v>
      </c>
      <c r="B27" s="284"/>
      <c r="C27" s="258"/>
      <c r="D27" s="258"/>
      <c r="E27" s="258"/>
      <c r="F27" s="358" t="s">
        <v>66</v>
      </c>
      <c r="G27" s="359"/>
      <c r="H27" s="360"/>
      <c r="I27" s="287"/>
      <c r="J27" s="187" t="s">
        <v>20</v>
      </c>
      <c r="K27" s="259"/>
      <c r="L27" s="358" t="s">
        <v>66</v>
      </c>
      <c r="M27" s="359"/>
      <c r="N27" s="360"/>
      <c r="O27" s="258"/>
      <c r="P27" s="258"/>
      <c r="Q27" s="260"/>
      <c r="R27" s="258"/>
      <c r="S27" s="250">
        <v>40</v>
      </c>
      <c r="U27" s="57"/>
      <c r="V27" s="57"/>
      <c r="W27" s="57"/>
      <c r="X27" s="57"/>
    </row>
    <row r="28" spans="1:24" ht="13.15" customHeight="1" thickBot="1" x14ac:dyDescent="0.3">
      <c r="A28" s="182">
        <v>41</v>
      </c>
      <c r="B28" s="284"/>
      <c r="C28" s="258"/>
      <c r="D28" s="258"/>
      <c r="E28" s="258"/>
      <c r="F28" s="358" t="s">
        <v>66</v>
      </c>
      <c r="G28" s="359"/>
      <c r="H28" s="360"/>
      <c r="I28" s="287"/>
      <c r="J28" s="191" t="s">
        <v>19</v>
      </c>
      <c r="K28" s="259"/>
      <c r="L28" s="358" t="s">
        <v>66</v>
      </c>
      <c r="M28" s="359"/>
      <c r="N28" s="360"/>
      <c r="O28" s="258"/>
      <c r="P28" s="258"/>
      <c r="Q28" s="260"/>
      <c r="R28" s="291"/>
      <c r="S28" s="252">
        <v>42</v>
      </c>
      <c r="U28" s="57"/>
      <c r="V28" s="57"/>
      <c r="W28" s="57"/>
      <c r="X28" s="57"/>
    </row>
    <row r="29" spans="1:24" ht="12.6" customHeight="1" x14ac:dyDescent="0.25">
      <c r="A29" s="205" t="s">
        <v>21</v>
      </c>
      <c r="B29" s="206"/>
      <c r="C29" s="273"/>
      <c r="D29" s="231"/>
      <c r="E29" s="207"/>
      <c r="F29" s="207"/>
      <c r="G29" s="208"/>
      <c r="H29" s="209"/>
      <c r="I29" s="379" t="s">
        <v>22</v>
      </c>
      <c r="J29" s="380"/>
      <c r="K29" s="380"/>
      <c r="L29" s="380"/>
      <c r="M29" s="380"/>
      <c r="N29" s="380"/>
      <c r="O29" s="380"/>
      <c r="P29" s="380"/>
      <c r="Q29" s="380"/>
      <c r="R29" s="380"/>
      <c r="S29" s="381"/>
      <c r="U29" s="57"/>
      <c r="V29" s="57"/>
      <c r="W29" s="57"/>
      <c r="X29" s="57"/>
    </row>
    <row r="30" spans="1:24" ht="13.15" customHeight="1" x14ac:dyDescent="0.25">
      <c r="A30" s="275" t="s">
        <v>23</v>
      </c>
      <c r="B30" s="242"/>
      <c r="C30" s="274"/>
      <c r="D30" s="274"/>
      <c r="E30" s="274"/>
      <c r="F30" s="211" t="e">
        <f>SUMIF($J$8:$J$28,"=A",$I$8:$I$28)+SUMIF($J$8:$J$28,"=A",$K$8:$K$28)</f>
        <v>#REF!</v>
      </c>
      <c r="G30" s="244" t="s">
        <v>24</v>
      </c>
      <c r="H30" s="212"/>
      <c r="I30" s="382" t="s">
        <v>25</v>
      </c>
      <c r="J30" s="383"/>
      <c r="K30" s="383"/>
      <c r="L30" s="384"/>
      <c r="M30" s="214" t="s">
        <v>26</v>
      </c>
      <c r="N30" s="385" t="s">
        <v>27</v>
      </c>
      <c r="O30" s="386"/>
      <c r="P30" s="387"/>
      <c r="Q30" s="204"/>
      <c r="R30" s="204"/>
      <c r="S30" s="215"/>
      <c r="U30" s="57"/>
      <c r="V30" s="57"/>
      <c r="W30" s="57"/>
      <c r="X30" s="57"/>
    </row>
    <row r="31" spans="1:24" ht="13.15" customHeight="1" x14ac:dyDescent="0.25">
      <c r="A31" s="275" t="s">
        <v>28</v>
      </c>
      <c r="B31" s="242"/>
      <c r="C31" s="274"/>
      <c r="D31" s="274"/>
      <c r="E31" s="274"/>
      <c r="F31" s="216" t="e">
        <f>SUMIF($J$8:$J$28,"=B",$I$8:$I$28)+SUMIF($J$8:$J$28,"=B",$K$8:$K$28)</f>
        <v>#REF!</v>
      </c>
      <c r="G31" s="244" t="s">
        <v>24</v>
      </c>
      <c r="H31" s="212"/>
      <c r="I31" s="388" t="s">
        <v>29</v>
      </c>
      <c r="J31" s="389"/>
      <c r="K31" s="389"/>
      <c r="L31" s="390"/>
      <c r="M31" s="217">
        <f>SUMIF($C$8:$C$28,"=C",$I$8:$I$28)+SUMIF($Q$8:$Q$28,"=C",$K$8:$K$28)</f>
        <v>0</v>
      </c>
      <c r="N31" s="391">
        <v>1.25</v>
      </c>
      <c r="O31" s="392"/>
      <c r="P31" s="393"/>
      <c r="Q31" s="394">
        <f>$M31*1.25</f>
        <v>0</v>
      </c>
      <c r="R31" s="395"/>
      <c r="S31" s="396"/>
      <c r="U31" s="57"/>
      <c r="V31" s="57"/>
      <c r="W31" s="57"/>
      <c r="X31" s="57"/>
    </row>
    <row r="32" spans="1:24" ht="13.15" customHeight="1" x14ac:dyDescent="0.25">
      <c r="A32" s="275" t="s">
        <v>30</v>
      </c>
      <c r="B32" s="242"/>
      <c r="C32" s="274"/>
      <c r="D32" s="274"/>
      <c r="E32" s="274"/>
      <c r="F32" s="216" t="e">
        <f>SUMIF($J$8:$J$28,"=C",$I$8:$I$28)+SUMIF($J$8:$J$28,"=C",$K$8:$K$28)</f>
        <v>#REF!</v>
      </c>
      <c r="G32" s="244" t="s">
        <v>24</v>
      </c>
      <c r="H32" s="212"/>
      <c r="I32" s="397" t="s">
        <v>31</v>
      </c>
      <c r="J32" s="398"/>
      <c r="K32" s="398"/>
      <c r="L32" s="399"/>
      <c r="M32" s="218" t="e">
        <f>SUMIF($C$8:$C$28,"=D",$I$8:$I$28)+SUMIF($Q$8:$Q$28,"=D",$K$8:$K$28)</f>
        <v>#REF!</v>
      </c>
      <c r="N32" s="400">
        <v>1</v>
      </c>
      <c r="O32" s="401"/>
      <c r="P32" s="402"/>
      <c r="Q32" s="403" t="e">
        <f>$M32</f>
        <v>#REF!</v>
      </c>
      <c r="R32" s="404"/>
      <c r="S32" s="405"/>
      <c r="U32" s="57"/>
      <c r="V32" s="57"/>
      <c r="W32" s="57"/>
      <c r="X32" s="57"/>
    </row>
    <row r="33" spans="1:24" ht="13.15" customHeight="1" x14ac:dyDescent="0.25">
      <c r="A33" s="275" t="s">
        <v>32</v>
      </c>
      <c r="B33" s="242"/>
      <c r="C33" s="274"/>
      <c r="D33" s="274"/>
      <c r="E33" s="274"/>
      <c r="F33" s="216" t="e">
        <f>SUM(F30:F32)</f>
        <v>#REF!</v>
      </c>
      <c r="G33" s="244" t="s">
        <v>24</v>
      </c>
      <c r="H33" s="212"/>
      <c r="I33" s="397" t="s">
        <v>33</v>
      </c>
      <c r="J33" s="398"/>
      <c r="K33" s="398"/>
      <c r="L33" s="399"/>
      <c r="M33" s="218">
        <f>SUMIF($C$8:$C$28,"=G",$I$8:$I$28)+SUMIF($Q$8:$Q$28,"=G",$K$8:$K$28)</f>
        <v>0</v>
      </c>
      <c r="N33" s="406" t="s">
        <v>37</v>
      </c>
      <c r="O33" s="407"/>
      <c r="P33" s="408"/>
      <c r="Q33" s="403">
        <f>IF($M33&gt;10,10+($M33-10)*0.5,$M33)</f>
        <v>0</v>
      </c>
      <c r="R33" s="404"/>
      <c r="S33" s="405"/>
      <c r="U33" s="57"/>
      <c r="V33" s="57"/>
      <c r="W33" s="57"/>
      <c r="X33" s="57"/>
    </row>
    <row r="34" spans="1:24" ht="14.1" customHeight="1" x14ac:dyDescent="0.25">
      <c r="A34" s="219"/>
      <c r="B34" s="243"/>
      <c r="C34" s="243"/>
      <c r="D34" s="243"/>
      <c r="E34" s="243"/>
      <c r="F34" s="243"/>
      <c r="G34" s="244"/>
      <c r="H34" s="212"/>
      <c r="I34" s="397" t="s">
        <v>34</v>
      </c>
      <c r="J34" s="398"/>
      <c r="K34" s="398"/>
      <c r="L34" s="399"/>
      <c r="M34" s="218">
        <f>SUMIF($C$8:$C$28,"=K",$I$8:$I$28)+SUMIF($Q$8:$Q$28,"=K",$K$8:$K$28)</f>
        <v>0</v>
      </c>
      <c r="N34" s="400">
        <v>0.65</v>
      </c>
      <c r="O34" s="401"/>
      <c r="P34" s="402"/>
      <c r="Q34" s="403">
        <f>M34*(U13*U14*U15*U16)</f>
        <v>0</v>
      </c>
      <c r="R34" s="404"/>
      <c r="S34" s="405"/>
      <c r="U34" s="57"/>
      <c r="V34" s="57"/>
      <c r="W34" s="57"/>
      <c r="X34" s="57"/>
    </row>
    <row r="35" spans="1:24" ht="14.1" customHeight="1" x14ac:dyDescent="0.25">
      <c r="A35" s="210"/>
      <c r="B35" s="243"/>
      <c r="C35" s="243"/>
      <c r="D35" s="243"/>
      <c r="E35" s="243"/>
      <c r="F35" s="243"/>
      <c r="G35" s="244"/>
      <c r="H35" s="212"/>
      <c r="I35" s="409" t="s">
        <v>47</v>
      </c>
      <c r="J35" s="410"/>
      <c r="K35" s="410"/>
      <c r="L35" s="411"/>
      <c r="M35" s="221">
        <f>SUM(U9:U10)</f>
        <v>103.53219999999999</v>
      </c>
      <c r="N35" s="412" t="s">
        <v>36</v>
      </c>
      <c r="O35" s="413"/>
      <c r="P35" s="414"/>
      <c r="Q35" s="415">
        <f>U9+U10*1.25</f>
        <v>115.37394999999998</v>
      </c>
      <c r="R35" s="416"/>
      <c r="S35" s="417"/>
      <c r="U35" s="57"/>
      <c r="V35" s="57"/>
      <c r="W35" s="57"/>
      <c r="X35" s="57"/>
    </row>
    <row r="36" spans="1:24" ht="14.1" customHeight="1" thickBot="1" x14ac:dyDescent="0.3">
      <c r="A36" s="210"/>
      <c r="B36" s="243"/>
      <c r="C36" s="242"/>
      <c r="D36" s="243"/>
      <c r="E36" s="243"/>
      <c r="F36" s="243"/>
      <c r="G36" s="244"/>
      <c r="H36" s="242"/>
      <c r="I36" s="242"/>
      <c r="J36" s="242"/>
      <c r="K36" s="242"/>
      <c r="L36" s="242"/>
      <c r="M36" s="243"/>
      <c r="N36" s="418" t="s">
        <v>35</v>
      </c>
      <c r="O36" s="418"/>
      <c r="P36" s="418"/>
      <c r="Q36" s="419" t="e">
        <f>SUM(Q31:S35)</f>
        <v>#REF!</v>
      </c>
      <c r="R36" s="419"/>
      <c r="S36" s="420"/>
      <c r="U36" s="57"/>
      <c r="V36" s="57"/>
      <c r="W36" s="57"/>
      <c r="X36" s="57"/>
    </row>
    <row r="37" spans="1:24" ht="14.1" customHeight="1" thickBot="1" x14ac:dyDescent="0.3">
      <c r="A37" s="210"/>
      <c r="B37" s="243"/>
      <c r="C37" s="242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407" t="s">
        <v>131</v>
      </c>
      <c r="O37" s="407"/>
      <c r="P37" s="421"/>
      <c r="Q37" s="422" t="e">
        <f>Q36/0.48/SQRT(3)</f>
        <v>#REF!</v>
      </c>
      <c r="R37" s="423"/>
      <c r="S37" s="424"/>
      <c r="U37" s="57"/>
      <c r="V37" s="57"/>
      <c r="W37" s="57"/>
      <c r="X37" s="57"/>
    </row>
    <row r="38" spans="1:24" ht="14.1" customHeight="1" thickBot="1" x14ac:dyDescent="0.3">
      <c r="A38" s="108"/>
      <c r="B38" s="19"/>
      <c r="C38" s="92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19"/>
      <c r="P38" s="19"/>
      <c r="Q38" s="19"/>
      <c r="R38" s="19"/>
      <c r="S38" s="21"/>
      <c r="U38" s="57"/>
      <c r="V38" s="57"/>
      <c r="W38" s="57"/>
      <c r="X38" s="57"/>
    </row>
    <row r="39" spans="1:24" ht="14.1" customHeight="1" x14ac:dyDescent="0.25">
      <c r="H39" s="2"/>
      <c r="I39" s="2"/>
      <c r="U39" s="57"/>
      <c r="V39" s="57"/>
      <c r="W39" s="57"/>
      <c r="X39" s="57"/>
    </row>
    <row r="40" spans="1:24" ht="14.1" customHeight="1" x14ac:dyDescent="0.25">
      <c r="H40" s="2"/>
      <c r="I40" s="2"/>
      <c r="O40" s="57"/>
      <c r="P40" s="57"/>
      <c r="Q40" s="1"/>
      <c r="R40" s="1"/>
      <c r="S40" s="1"/>
      <c r="T40" s="1"/>
    </row>
    <row r="41" spans="1:24" ht="14.1" customHeight="1" x14ac:dyDescent="0.25">
      <c r="H41" s="2"/>
      <c r="I41" s="2"/>
      <c r="P41" s="1"/>
      <c r="Q41" s="1"/>
      <c r="R41" s="1"/>
      <c r="S41" s="1"/>
      <c r="T41" s="1"/>
    </row>
    <row r="42" spans="1:24" ht="14.1" customHeight="1" x14ac:dyDescent="0.25">
      <c r="P42" s="1"/>
      <c r="Q42" s="1"/>
      <c r="R42" s="1"/>
      <c r="S42" s="1"/>
      <c r="T42" s="1"/>
    </row>
    <row r="44" spans="1:24" ht="14.1" customHeight="1" x14ac:dyDescent="0.25">
      <c r="A44" s="93"/>
      <c r="B44" s="93"/>
      <c r="C44" s="93"/>
      <c r="D44" s="93"/>
      <c r="E44" s="93"/>
      <c r="F44" s="94"/>
      <c r="G44" s="95"/>
      <c r="H44" s="95"/>
      <c r="I44" s="96"/>
    </row>
    <row r="46" spans="1:24" ht="14.1" customHeight="1" x14ac:dyDescent="0.25">
      <c r="K46" s="222"/>
      <c r="L46" s="425"/>
      <c r="M46" s="425"/>
      <c r="N46" s="425"/>
    </row>
  </sheetData>
  <mergeCells count="79">
    <mergeCell ref="D11:D13"/>
    <mergeCell ref="E11:E13"/>
    <mergeCell ref="F11:H13"/>
    <mergeCell ref="L8:N10"/>
    <mergeCell ref="O8:O10"/>
    <mergeCell ref="P8:P10"/>
    <mergeCell ref="L11:N11"/>
    <mergeCell ref="L12:N12"/>
    <mergeCell ref="L13:N13"/>
    <mergeCell ref="N36:P36"/>
    <mergeCell ref="Q36:S36"/>
    <mergeCell ref="N37:P37"/>
    <mergeCell ref="Q37:S37"/>
    <mergeCell ref="L46:N46"/>
    <mergeCell ref="F23:H23"/>
    <mergeCell ref="F24:H24"/>
    <mergeCell ref="F25:H25"/>
    <mergeCell ref="F27:H27"/>
    <mergeCell ref="F28:H28"/>
    <mergeCell ref="I34:L34"/>
    <mergeCell ref="N34:P34"/>
    <mergeCell ref="Q34:S34"/>
    <mergeCell ref="I35:L35"/>
    <mergeCell ref="N35:P35"/>
    <mergeCell ref="Q35:S35"/>
    <mergeCell ref="I32:L32"/>
    <mergeCell ref="N32:P32"/>
    <mergeCell ref="Q32:S32"/>
    <mergeCell ref="I33:L33"/>
    <mergeCell ref="N33:P33"/>
    <mergeCell ref="Q33:S33"/>
    <mergeCell ref="I29:S29"/>
    <mergeCell ref="I30:L30"/>
    <mergeCell ref="N30:P30"/>
    <mergeCell ref="I31:L31"/>
    <mergeCell ref="N31:P31"/>
    <mergeCell ref="Q31:S31"/>
    <mergeCell ref="F22:H22"/>
    <mergeCell ref="L20:N22"/>
    <mergeCell ref="F26:H26"/>
    <mergeCell ref="L26:N26"/>
    <mergeCell ref="L27:N27"/>
    <mergeCell ref="L28:N28"/>
    <mergeCell ref="L23:N23"/>
    <mergeCell ref="L24:N24"/>
    <mergeCell ref="L25:N25"/>
    <mergeCell ref="F18:H18"/>
    <mergeCell ref="L18:N18"/>
    <mergeCell ref="F19:H19"/>
    <mergeCell ref="L19:N19"/>
    <mergeCell ref="F20:H20"/>
    <mergeCell ref="F21:H21"/>
    <mergeCell ref="L14:N14"/>
    <mergeCell ref="F15:H15"/>
    <mergeCell ref="L15:N15"/>
    <mergeCell ref="F16:H16"/>
    <mergeCell ref="L16:N16"/>
    <mergeCell ref="F17:H17"/>
    <mergeCell ref="L17:N17"/>
    <mergeCell ref="R6:R7"/>
    <mergeCell ref="S6:S7"/>
    <mergeCell ref="D8:D10"/>
    <mergeCell ref="E8:E10"/>
    <mergeCell ref="F8:H10"/>
    <mergeCell ref="I6:I7"/>
    <mergeCell ref="J6:J7"/>
    <mergeCell ref="K6:K7"/>
    <mergeCell ref="L6:N7"/>
    <mergeCell ref="O6:P6"/>
    <mergeCell ref="O20:O22"/>
    <mergeCell ref="P20:P22"/>
    <mergeCell ref="Q6:Q7"/>
    <mergeCell ref="A3:E5"/>
    <mergeCell ref="A6:A7"/>
    <mergeCell ref="B6:B7"/>
    <mergeCell ref="C6:C7"/>
    <mergeCell ref="D6:E6"/>
    <mergeCell ref="F6:H7"/>
    <mergeCell ref="F14:H14"/>
  </mergeCells>
  <pageMargins left="0.5" right="0.5" top="0.5" bottom="0.5" header="0.5" footer="0.5"/>
  <pageSetup scale="96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2F7C-18A7-4808-A726-C8F5D21C0868}">
  <sheetPr codeName="Sheet2">
    <tabColor rgb="FF00B050"/>
    <pageSetUpPr fitToPage="1"/>
  </sheetPr>
  <dimension ref="A1:X46"/>
  <sheetViews>
    <sheetView showGridLines="0" zoomScale="145" zoomScaleNormal="145" workbookViewId="0">
      <selection activeCell="L26" sqref="L26:N28"/>
    </sheetView>
  </sheetViews>
  <sheetFormatPr defaultColWidth="9.28515625" defaultRowHeight="14.1" customHeight="1" x14ac:dyDescent="0.25"/>
  <cols>
    <col min="1" max="1" width="4" style="1" customWidth="1"/>
    <col min="2" max="5" width="4" style="2" customWidth="1"/>
    <col min="6" max="6" width="17.28515625" style="2" customWidth="1"/>
    <col min="7" max="7" width="18.7109375" style="2" customWidth="1"/>
    <col min="8" max="8" width="1.7109375" style="1" customWidth="1"/>
    <col min="9" max="9" width="6.7109375" style="1" customWidth="1"/>
    <col min="10" max="10" width="4" style="2" customWidth="1"/>
    <col min="11" max="11" width="6.7109375" style="2" customWidth="1"/>
    <col min="12" max="12" width="3.5703125" style="2" customWidth="1"/>
    <col min="13" max="13" width="9.5703125" style="2" customWidth="1"/>
    <col min="14" max="14" width="25.7109375" style="2" customWidth="1"/>
    <col min="15" max="15" width="4" style="1" customWidth="1"/>
    <col min="16" max="19" width="4" style="2" customWidth="1"/>
    <col min="20" max="20" width="3.28515625" style="2" customWidth="1"/>
    <col min="21" max="21" width="0" style="1" hidden="1" customWidth="1"/>
    <col min="22" max="23" width="9.28515625" style="1"/>
    <col min="24" max="24" width="8.5703125" style="1" customWidth="1"/>
    <col min="25" max="16384" width="9.28515625" style="1"/>
  </cols>
  <sheetData>
    <row r="1" spans="1:24" ht="14.1" customHeight="1" thickBot="1" x14ac:dyDescent="0.3"/>
    <row r="2" spans="1:24" ht="14.1" customHeight="1" x14ac:dyDescent="0.25">
      <c r="A2" s="228"/>
      <c r="B2" s="229"/>
      <c r="C2" s="229"/>
      <c r="D2" s="229"/>
      <c r="E2" s="229"/>
      <c r="F2" s="230" t="s">
        <v>0</v>
      </c>
      <c r="G2" s="231" t="s">
        <v>48</v>
      </c>
      <c r="H2" s="208"/>
      <c r="I2" s="230" t="s">
        <v>1</v>
      </c>
      <c r="J2" s="230"/>
      <c r="K2" s="231">
        <v>4</v>
      </c>
      <c r="L2" s="207"/>
      <c r="M2" s="230" t="s">
        <v>2</v>
      </c>
      <c r="N2" s="231" t="s">
        <v>46</v>
      </c>
      <c r="O2" s="207"/>
      <c r="P2" s="232" t="s">
        <v>3</v>
      </c>
      <c r="Q2" s="232"/>
      <c r="R2" s="232"/>
      <c r="S2" s="233"/>
      <c r="T2" s="192"/>
      <c r="U2" s="295"/>
    </row>
    <row r="3" spans="1:24" ht="16.149999999999999" customHeight="1" x14ac:dyDescent="0.25">
      <c r="A3" s="344" t="s">
        <v>163</v>
      </c>
      <c r="B3" s="345"/>
      <c r="C3" s="345"/>
      <c r="D3" s="345"/>
      <c r="E3" s="345"/>
      <c r="F3" s="234" t="s">
        <v>4</v>
      </c>
      <c r="G3" s="235" t="s">
        <v>162</v>
      </c>
      <c r="H3" s="192"/>
      <c r="I3" s="234" t="s">
        <v>5</v>
      </c>
      <c r="J3" s="234"/>
      <c r="K3" s="204">
        <v>3</v>
      </c>
      <c r="L3" s="192"/>
      <c r="M3" s="234" t="s">
        <v>6</v>
      </c>
      <c r="N3" s="236">
        <v>22000</v>
      </c>
      <c r="O3" s="192"/>
      <c r="P3" s="220"/>
      <c r="Q3" s="235"/>
      <c r="R3" s="235"/>
      <c r="S3" s="237"/>
      <c r="T3" s="192"/>
      <c r="U3" s="298"/>
      <c r="V3" s="16"/>
      <c r="W3" s="16"/>
      <c r="X3" s="16"/>
    </row>
    <row r="4" spans="1:24" ht="14.1" customHeight="1" x14ac:dyDescent="0.25">
      <c r="A4" s="344"/>
      <c r="B4" s="345"/>
      <c r="C4" s="345"/>
      <c r="D4" s="345"/>
      <c r="E4" s="345"/>
      <c r="F4" s="234" t="s">
        <v>7</v>
      </c>
      <c r="G4" s="238" t="s">
        <v>146</v>
      </c>
      <c r="H4" s="192"/>
      <c r="I4" s="234" t="s">
        <v>8</v>
      </c>
      <c r="J4" s="234"/>
      <c r="K4" s="204" t="s">
        <v>73</v>
      </c>
      <c r="L4" s="192"/>
      <c r="M4" s="234" t="s">
        <v>9</v>
      </c>
      <c r="N4" s="238" t="s">
        <v>44</v>
      </c>
      <c r="O4" s="192"/>
      <c r="P4" s="213"/>
      <c r="Q4" s="204"/>
      <c r="R4" s="204"/>
      <c r="S4" s="215"/>
      <c r="T4" s="192"/>
      <c r="U4" s="298"/>
      <c r="V4" s="16"/>
      <c r="W4" s="16"/>
      <c r="X4" s="16"/>
    </row>
    <row r="5" spans="1:24" ht="6" customHeight="1" thickBot="1" x14ac:dyDescent="0.3">
      <c r="A5" s="346"/>
      <c r="B5" s="347"/>
      <c r="C5" s="347"/>
      <c r="D5" s="347"/>
      <c r="E5" s="347"/>
      <c r="F5" s="239"/>
      <c r="G5" s="240"/>
      <c r="H5" s="240"/>
      <c r="I5" s="239"/>
      <c r="J5" s="239"/>
      <c r="K5" s="239"/>
      <c r="L5" s="239"/>
      <c r="M5" s="239"/>
      <c r="N5" s="240"/>
      <c r="O5" s="239"/>
      <c r="P5" s="239"/>
      <c r="Q5" s="239"/>
      <c r="R5" s="239"/>
      <c r="S5" s="241"/>
      <c r="T5" s="192"/>
      <c r="U5" s="298"/>
      <c r="V5" s="16"/>
      <c r="W5" s="16"/>
      <c r="X5" s="16"/>
    </row>
    <row r="6" spans="1:24" s="270" customFormat="1" ht="31.15" customHeight="1" x14ac:dyDescent="0.2">
      <c r="A6" s="348" t="s">
        <v>39</v>
      </c>
      <c r="B6" s="342" t="s">
        <v>10</v>
      </c>
      <c r="C6" s="342" t="s">
        <v>11</v>
      </c>
      <c r="D6" s="350" t="s">
        <v>12</v>
      </c>
      <c r="E6" s="351"/>
      <c r="F6" s="352" t="s">
        <v>38</v>
      </c>
      <c r="G6" s="353"/>
      <c r="H6" s="354"/>
      <c r="I6" s="373" t="s">
        <v>14</v>
      </c>
      <c r="J6" s="342" t="s">
        <v>15</v>
      </c>
      <c r="K6" s="373" t="s">
        <v>14</v>
      </c>
      <c r="L6" s="352" t="s">
        <v>13</v>
      </c>
      <c r="M6" s="353"/>
      <c r="N6" s="354"/>
      <c r="O6" s="375" t="s">
        <v>12</v>
      </c>
      <c r="P6" s="375"/>
      <c r="Q6" s="342" t="s">
        <v>11</v>
      </c>
      <c r="R6" s="342" t="s">
        <v>10</v>
      </c>
      <c r="S6" s="361" t="s">
        <v>39</v>
      </c>
      <c r="T6" s="299"/>
      <c r="U6" s="300"/>
      <c r="V6" s="271"/>
      <c r="W6" s="271"/>
      <c r="X6" s="271"/>
    </row>
    <row r="7" spans="1:24" s="270" customFormat="1" ht="13.9" customHeight="1" thickBot="1" x14ac:dyDescent="0.25">
      <c r="A7" s="349"/>
      <c r="B7" s="343"/>
      <c r="C7" s="343"/>
      <c r="D7" s="269" t="s">
        <v>16</v>
      </c>
      <c r="E7" s="276" t="s">
        <v>17</v>
      </c>
      <c r="F7" s="355"/>
      <c r="G7" s="356"/>
      <c r="H7" s="357"/>
      <c r="I7" s="374"/>
      <c r="J7" s="343"/>
      <c r="K7" s="374"/>
      <c r="L7" s="355"/>
      <c r="M7" s="356"/>
      <c r="N7" s="357"/>
      <c r="O7" s="276" t="s">
        <v>16</v>
      </c>
      <c r="P7" s="276" t="s">
        <v>17</v>
      </c>
      <c r="Q7" s="343"/>
      <c r="R7" s="343"/>
      <c r="S7" s="362"/>
      <c r="T7" s="299"/>
      <c r="U7" s="300"/>
      <c r="V7" s="271"/>
      <c r="W7" s="271"/>
      <c r="X7" s="271"/>
    </row>
    <row r="8" spans="1:24" ht="13.15" customHeight="1" x14ac:dyDescent="0.25">
      <c r="A8" s="175">
        <v>1</v>
      </c>
      <c r="B8" s="176"/>
      <c r="C8" s="184" t="s">
        <v>82</v>
      </c>
      <c r="D8" s="178">
        <v>1</v>
      </c>
      <c r="E8" s="178">
        <v>20</v>
      </c>
      <c r="F8" s="446" t="s">
        <v>78</v>
      </c>
      <c r="G8" s="447"/>
      <c r="H8" s="448"/>
      <c r="I8" s="195">
        <f>1.96 * 0.12</f>
        <v>0.23519999999999999</v>
      </c>
      <c r="J8" s="203" t="s">
        <v>18</v>
      </c>
      <c r="K8" s="193">
        <v>1.2</v>
      </c>
      <c r="L8" s="449" t="s">
        <v>97</v>
      </c>
      <c r="M8" s="450"/>
      <c r="N8" s="451"/>
      <c r="O8" s="178">
        <v>1</v>
      </c>
      <c r="P8" s="178">
        <v>20</v>
      </c>
      <c r="Q8" s="184" t="s">
        <v>19</v>
      </c>
      <c r="R8" s="176"/>
      <c r="S8" s="185">
        <v>2</v>
      </c>
      <c r="T8" s="192"/>
      <c r="U8" s="298"/>
      <c r="V8" s="16"/>
      <c r="W8" s="16"/>
      <c r="X8" s="16"/>
    </row>
    <row r="9" spans="1:24" ht="13.15" customHeight="1" x14ac:dyDescent="0.25">
      <c r="A9" s="177">
        <v>3</v>
      </c>
      <c r="B9" s="176"/>
      <c r="C9" s="184" t="s">
        <v>82</v>
      </c>
      <c r="D9" s="178">
        <v>1</v>
      </c>
      <c r="E9" s="178">
        <v>20</v>
      </c>
      <c r="F9" s="446" t="s">
        <v>79</v>
      </c>
      <c r="G9" s="447"/>
      <c r="H9" s="448"/>
      <c r="I9" s="195">
        <f xml:space="preserve"> 5.8 * 0.12</f>
        <v>0.69599999999999995</v>
      </c>
      <c r="J9" s="187" t="s">
        <v>20</v>
      </c>
      <c r="K9" s="194">
        <v>1.2</v>
      </c>
      <c r="L9" s="449" t="s">
        <v>97</v>
      </c>
      <c r="M9" s="450"/>
      <c r="N9" s="451"/>
      <c r="O9" s="178">
        <v>1</v>
      </c>
      <c r="P9" s="178">
        <v>20</v>
      </c>
      <c r="Q9" s="184" t="s">
        <v>19</v>
      </c>
      <c r="R9" s="178"/>
      <c r="S9" s="186">
        <v>4</v>
      </c>
      <c r="T9" s="192"/>
      <c r="U9" s="301">
        <f>SUMIF($C$8:$C$28,"=M",$I$8:$I$28)+SUMIF($Q$8:$Q$28,"=M",$K$8:$K$28)</f>
        <v>2.8224</v>
      </c>
      <c r="V9" s="16"/>
      <c r="W9" s="16"/>
      <c r="X9" s="16"/>
    </row>
    <row r="10" spans="1:24" ht="13.15" customHeight="1" x14ac:dyDescent="0.25">
      <c r="A10" s="177">
        <v>5</v>
      </c>
      <c r="B10" s="176"/>
      <c r="C10" s="184" t="s">
        <v>82</v>
      </c>
      <c r="D10" s="178">
        <v>1</v>
      </c>
      <c r="E10" s="178">
        <v>20</v>
      </c>
      <c r="F10" s="446" t="s">
        <v>100</v>
      </c>
      <c r="G10" s="447"/>
      <c r="H10" s="448"/>
      <c r="I10" s="195">
        <f>1.96 * 0.12</f>
        <v>0.23519999999999999</v>
      </c>
      <c r="J10" s="187" t="s">
        <v>19</v>
      </c>
      <c r="K10" s="194">
        <f>(18*15+95+12*60)/800</f>
        <v>1.35625</v>
      </c>
      <c r="L10" s="449" t="s">
        <v>132</v>
      </c>
      <c r="M10" s="450"/>
      <c r="N10" s="451"/>
      <c r="O10" s="178">
        <v>1</v>
      </c>
      <c r="P10" s="178">
        <v>20</v>
      </c>
      <c r="Q10" s="184" t="s">
        <v>19</v>
      </c>
      <c r="R10" s="178"/>
      <c r="S10" s="186">
        <v>6</v>
      </c>
      <c r="T10" s="192"/>
      <c r="U10" s="301">
        <f>SUMIF($C$8:$C$28,"=ML",$I$8:$I$28)+SUMIF($Q$8:$Q$28,"=ML",$K$8:$K$28)</f>
        <v>0</v>
      </c>
      <c r="V10" s="16"/>
      <c r="W10" s="16"/>
      <c r="X10" s="16"/>
    </row>
    <row r="11" spans="1:24" ht="13.15" customHeight="1" x14ac:dyDescent="0.25">
      <c r="A11" s="177">
        <v>7</v>
      </c>
      <c r="B11" s="176"/>
      <c r="C11" s="184" t="s">
        <v>82</v>
      </c>
      <c r="D11" s="178">
        <v>1</v>
      </c>
      <c r="E11" s="178">
        <v>20</v>
      </c>
      <c r="F11" s="446" t="s">
        <v>141</v>
      </c>
      <c r="G11" s="447"/>
      <c r="H11" s="448"/>
      <c r="I11" s="195">
        <f>13.8*0.12</f>
        <v>1.6559999999999999</v>
      </c>
      <c r="J11" s="187" t="s">
        <v>18</v>
      </c>
      <c r="K11" s="194">
        <f>(11*8.6*4+6*4.3*4+3*78)/800</f>
        <v>0.89449999999999985</v>
      </c>
      <c r="L11" s="446" t="s">
        <v>133</v>
      </c>
      <c r="M11" s="447"/>
      <c r="N11" s="448"/>
      <c r="O11" s="223">
        <v>1</v>
      </c>
      <c r="P11" s="178">
        <v>20</v>
      </c>
      <c r="Q11" s="187" t="s">
        <v>19</v>
      </c>
      <c r="R11" s="178"/>
      <c r="S11" s="186">
        <v>8</v>
      </c>
      <c r="T11" s="192"/>
      <c r="U11" s="298">
        <f>SUMIF($C$8:$C$28,"=K",$I$8:$I$28)+SUMIF($Q$8:$Q$28,"=K",$K$8:$K$28)</f>
        <v>0</v>
      </c>
      <c r="V11" s="16"/>
      <c r="W11" s="16"/>
      <c r="X11" s="16"/>
    </row>
    <row r="12" spans="1:24" ht="13.15" customHeight="1" x14ac:dyDescent="0.25">
      <c r="A12" s="177">
        <v>9</v>
      </c>
      <c r="B12" s="176"/>
      <c r="C12" s="184" t="s">
        <v>65</v>
      </c>
      <c r="D12" s="178">
        <v>1</v>
      </c>
      <c r="E12" s="178">
        <v>20</v>
      </c>
      <c r="F12" s="446" t="s">
        <v>80</v>
      </c>
      <c r="G12" s="447"/>
      <c r="H12" s="448"/>
      <c r="I12" s="195">
        <v>0.36</v>
      </c>
      <c r="J12" s="187" t="s">
        <v>20</v>
      </c>
      <c r="K12" s="194">
        <f>(9*8.4*4+8*4.3*4+4*78)/800</f>
        <v>0.94</v>
      </c>
      <c r="L12" s="446" t="s">
        <v>134</v>
      </c>
      <c r="M12" s="447"/>
      <c r="N12" s="448"/>
      <c r="O12" s="224">
        <v>1</v>
      </c>
      <c r="P12" s="178">
        <v>20</v>
      </c>
      <c r="Q12" s="184" t="s">
        <v>19</v>
      </c>
      <c r="R12" s="178"/>
      <c r="S12" s="186">
        <v>10</v>
      </c>
      <c r="T12" s="192"/>
      <c r="U12" s="298">
        <f>SUMIF($C$8:$C$28,"=KL",$I$8:$I$28)+SUMIF($Q$8:$Q$28,"=KL",$K$8:$K$28)</f>
        <v>0</v>
      </c>
      <c r="V12" s="16"/>
      <c r="W12" s="16"/>
      <c r="X12" s="16"/>
    </row>
    <row r="13" spans="1:24" ht="13.15" customHeight="1" x14ac:dyDescent="0.25">
      <c r="A13" s="177">
        <v>11</v>
      </c>
      <c r="B13" s="176"/>
      <c r="C13" s="184" t="s">
        <v>65</v>
      </c>
      <c r="D13" s="178">
        <v>1</v>
      </c>
      <c r="E13" s="178">
        <v>20</v>
      </c>
      <c r="F13" s="446" t="s">
        <v>153</v>
      </c>
      <c r="G13" s="447"/>
      <c r="H13" s="448"/>
      <c r="I13" s="194">
        <f>0.18 * 4</f>
        <v>0.72</v>
      </c>
      <c r="J13" s="187" t="s">
        <v>19</v>
      </c>
      <c r="K13" s="194">
        <v>0.2</v>
      </c>
      <c r="L13" s="446" t="s">
        <v>143</v>
      </c>
      <c r="M13" s="447"/>
      <c r="N13" s="448"/>
      <c r="O13" s="178">
        <v>1</v>
      </c>
      <c r="P13" s="178">
        <v>20</v>
      </c>
      <c r="Q13" s="187" t="s">
        <v>40</v>
      </c>
      <c r="R13" s="178"/>
      <c r="S13" s="186">
        <v>12</v>
      </c>
      <c r="T13" s="192"/>
      <c r="U13" s="298">
        <f>IF(N34=90%,0.9,1)</f>
        <v>1</v>
      </c>
      <c r="V13" s="16"/>
      <c r="W13" s="16"/>
      <c r="X13" s="16"/>
    </row>
    <row r="14" spans="1:24" ht="13.15" customHeight="1" x14ac:dyDescent="0.25">
      <c r="A14" s="179">
        <v>13</v>
      </c>
      <c r="B14" s="176"/>
      <c r="C14" s="184" t="s">
        <v>65</v>
      </c>
      <c r="D14" s="178">
        <v>1</v>
      </c>
      <c r="E14" s="178">
        <v>20</v>
      </c>
      <c r="F14" s="446" t="s">
        <v>112</v>
      </c>
      <c r="G14" s="447"/>
      <c r="H14" s="448"/>
      <c r="I14" s="194">
        <f>2*0.18</f>
        <v>0.36</v>
      </c>
      <c r="J14" s="187" t="s">
        <v>18</v>
      </c>
      <c r="K14" s="194">
        <f>8*0.18</f>
        <v>1.44</v>
      </c>
      <c r="L14" s="446" t="s">
        <v>122</v>
      </c>
      <c r="M14" s="447"/>
      <c r="N14" s="448"/>
      <c r="O14" s="178">
        <v>1</v>
      </c>
      <c r="P14" s="178">
        <v>20</v>
      </c>
      <c r="Q14" s="187" t="s">
        <v>65</v>
      </c>
      <c r="R14" s="178"/>
      <c r="S14" s="186">
        <v>14</v>
      </c>
      <c r="T14" s="192"/>
      <c r="U14" s="298">
        <f>IF(N34=80%,0.8,1)</f>
        <v>1</v>
      </c>
      <c r="V14" s="16"/>
      <c r="W14" s="16"/>
      <c r="X14" s="16"/>
    </row>
    <row r="15" spans="1:24" ht="13.15" customHeight="1" x14ac:dyDescent="0.25">
      <c r="A15" s="180">
        <v>15</v>
      </c>
      <c r="B15" s="176"/>
      <c r="C15" s="184" t="s">
        <v>65</v>
      </c>
      <c r="D15" s="178">
        <v>1</v>
      </c>
      <c r="E15" s="178">
        <v>20</v>
      </c>
      <c r="F15" s="466" t="s">
        <v>135</v>
      </c>
      <c r="G15" s="467"/>
      <c r="H15" s="468"/>
      <c r="I15" s="294">
        <f>5*0.18</f>
        <v>0.89999999999999991</v>
      </c>
      <c r="J15" s="190" t="s">
        <v>20</v>
      </c>
      <c r="K15" s="194">
        <f>8*0.18</f>
        <v>1.44</v>
      </c>
      <c r="L15" s="446" t="s">
        <v>154</v>
      </c>
      <c r="M15" s="447"/>
      <c r="N15" s="448"/>
      <c r="O15" s="178">
        <v>1</v>
      </c>
      <c r="P15" s="178">
        <v>20</v>
      </c>
      <c r="Q15" s="187" t="s">
        <v>65</v>
      </c>
      <c r="R15" s="178"/>
      <c r="S15" s="189">
        <v>16</v>
      </c>
      <c r="T15" s="192"/>
      <c r="U15" s="298">
        <f>IF(N34=70%,0.7,1)</f>
        <v>1</v>
      </c>
      <c r="V15" s="16"/>
      <c r="W15" s="16"/>
      <c r="X15" s="16"/>
    </row>
    <row r="16" spans="1:24" ht="13.15" customHeight="1" x14ac:dyDescent="0.25">
      <c r="A16" s="179">
        <v>17</v>
      </c>
      <c r="B16" s="176"/>
      <c r="C16" s="184" t="s">
        <v>65</v>
      </c>
      <c r="D16" s="178">
        <v>1</v>
      </c>
      <c r="E16" s="178">
        <v>20</v>
      </c>
      <c r="F16" s="446" t="s">
        <v>114</v>
      </c>
      <c r="G16" s="447"/>
      <c r="H16" s="448"/>
      <c r="I16" s="195">
        <f>3*0.18</f>
        <v>0.54</v>
      </c>
      <c r="J16" s="187" t="s">
        <v>19</v>
      </c>
      <c r="K16" s="194">
        <f>8*0.18</f>
        <v>1.44</v>
      </c>
      <c r="L16" s="446" t="s">
        <v>156</v>
      </c>
      <c r="M16" s="447"/>
      <c r="N16" s="448"/>
      <c r="O16" s="178">
        <v>1</v>
      </c>
      <c r="P16" s="178">
        <v>20</v>
      </c>
      <c r="Q16" s="187" t="s">
        <v>65</v>
      </c>
      <c r="R16" s="178"/>
      <c r="S16" s="186">
        <v>18</v>
      </c>
      <c r="T16" s="192"/>
      <c r="U16" s="298">
        <f>IF(N34=65%,0.65,1)</f>
        <v>0.65</v>
      </c>
      <c r="V16" s="16"/>
      <c r="W16" s="16"/>
      <c r="X16" s="16"/>
    </row>
    <row r="17" spans="1:24" ht="13.15" customHeight="1" x14ac:dyDescent="0.25">
      <c r="A17" s="179">
        <v>19</v>
      </c>
      <c r="B17" s="176"/>
      <c r="C17" s="184" t="s">
        <v>65</v>
      </c>
      <c r="D17" s="178">
        <v>1</v>
      </c>
      <c r="E17" s="178">
        <v>20</v>
      </c>
      <c r="F17" s="446" t="s">
        <v>136</v>
      </c>
      <c r="G17" s="447"/>
      <c r="H17" s="448"/>
      <c r="I17" s="193">
        <f>0.18 * 4</f>
        <v>0.72</v>
      </c>
      <c r="J17" s="187" t="s">
        <v>18</v>
      </c>
      <c r="K17" s="305">
        <f>8*0.18</f>
        <v>1.44</v>
      </c>
      <c r="L17" s="463" t="s">
        <v>160</v>
      </c>
      <c r="M17" s="464"/>
      <c r="N17" s="465"/>
      <c r="O17" s="303">
        <v>1</v>
      </c>
      <c r="P17" s="303">
        <v>20</v>
      </c>
      <c r="Q17" s="304" t="s">
        <v>65</v>
      </c>
      <c r="R17" s="178"/>
      <c r="S17" s="189">
        <v>20</v>
      </c>
      <c r="T17" s="192"/>
      <c r="U17" s="298"/>
      <c r="V17" s="16"/>
      <c r="W17" s="16"/>
      <c r="X17" s="16"/>
    </row>
    <row r="18" spans="1:24" ht="13.15" customHeight="1" x14ac:dyDescent="0.25">
      <c r="A18" s="179">
        <v>21</v>
      </c>
      <c r="B18" s="176"/>
      <c r="C18" s="178" t="s">
        <v>65</v>
      </c>
      <c r="D18" s="178">
        <v>1</v>
      </c>
      <c r="E18" s="178">
        <v>20</v>
      </c>
      <c r="F18" s="446" t="s">
        <v>149</v>
      </c>
      <c r="G18" s="447"/>
      <c r="H18" s="448"/>
      <c r="I18" s="196">
        <v>0.5</v>
      </c>
      <c r="J18" s="187" t="s">
        <v>20</v>
      </c>
      <c r="K18" s="194">
        <f>3*0.18</f>
        <v>0.54</v>
      </c>
      <c r="L18" s="446" t="s">
        <v>148</v>
      </c>
      <c r="M18" s="447"/>
      <c r="N18" s="448"/>
      <c r="O18" s="178">
        <v>1</v>
      </c>
      <c r="P18" s="178">
        <v>20</v>
      </c>
      <c r="Q18" s="187" t="s">
        <v>65</v>
      </c>
      <c r="R18" s="178"/>
      <c r="S18" s="186">
        <v>22</v>
      </c>
      <c r="T18" s="192"/>
      <c r="U18" s="298"/>
      <c r="V18" s="16"/>
      <c r="W18" s="16"/>
      <c r="X18" s="16"/>
    </row>
    <row r="19" spans="1:24" ht="13.15" customHeight="1" x14ac:dyDescent="0.25">
      <c r="A19" s="179">
        <v>23</v>
      </c>
      <c r="B19" s="176"/>
      <c r="C19" s="184" t="s">
        <v>65</v>
      </c>
      <c r="D19" s="178">
        <v>1</v>
      </c>
      <c r="E19" s="178">
        <v>20</v>
      </c>
      <c r="F19" s="446" t="s">
        <v>93</v>
      </c>
      <c r="G19" s="447"/>
      <c r="H19" s="448"/>
      <c r="I19" s="193">
        <f>7.2*0.12</f>
        <v>0.86399999999999999</v>
      </c>
      <c r="J19" s="190" t="s">
        <v>19</v>
      </c>
      <c r="K19" s="195"/>
      <c r="L19" s="446" t="s">
        <v>62</v>
      </c>
      <c r="M19" s="447"/>
      <c r="N19" s="448"/>
      <c r="O19" s="178">
        <v>1</v>
      </c>
      <c r="P19" s="178">
        <v>20</v>
      </c>
      <c r="Q19" s="187"/>
      <c r="R19" s="178"/>
      <c r="S19" s="186">
        <v>24</v>
      </c>
      <c r="T19" s="192"/>
      <c r="U19" s="298"/>
      <c r="V19" s="16"/>
      <c r="W19" s="16"/>
      <c r="X19" s="16"/>
    </row>
    <row r="20" spans="1:24" ht="13.15" customHeight="1" x14ac:dyDescent="0.25">
      <c r="A20" s="180">
        <v>25</v>
      </c>
      <c r="B20" s="176"/>
      <c r="C20" s="184" t="s">
        <v>65</v>
      </c>
      <c r="D20" s="178">
        <v>1</v>
      </c>
      <c r="E20" s="178">
        <v>20</v>
      </c>
      <c r="F20" s="446" t="s">
        <v>142</v>
      </c>
      <c r="G20" s="447"/>
      <c r="H20" s="448"/>
      <c r="I20" s="193">
        <v>1</v>
      </c>
      <c r="J20" s="187" t="s">
        <v>18</v>
      </c>
      <c r="K20" s="305">
        <f>8*0.18</f>
        <v>1.44</v>
      </c>
      <c r="L20" s="463" t="s">
        <v>161</v>
      </c>
      <c r="M20" s="464"/>
      <c r="N20" s="465"/>
      <c r="O20" s="303">
        <v>1</v>
      </c>
      <c r="P20" s="303">
        <v>20</v>
      </c>
      <c r="Q20" s="304" t="s">
        <v>65</v>
      </c>
      <c r="R20" s="178"/>
      <c r="S20" s="186">
        <v>26</v>
      </c>
      <c r="T20" s="192"/>
      <c r="U20" s="298"/>
      <c r="V20" s="16"/>
      <c r="W20" s="16"/>
      <c r="X20" s="16"/>
    </row>
    <row r="21" spans="1:24" ht="13.15" customHeight="1" x14ac:dyDescent="0.25">
      <c r="A21" s="179">
        <v>27</v>
      </c>
      <c r="B21" s="176"/>
      <c r="C21" s="184" t="s">
        <v>65</v>
      </c>
      <c r="D21" s="178">
        <v>1</v>
      </c>
      <c r="E21" s="178">
        <v>20</v>
      </c>
      <c r="F21" s="446" t="s">
        <v>107</v>
      </c>
      <c r="G21" s="447"/>
      <c r="H21" s="448"/>
      <c r="I21" s="193">
        <v>1</v>
      </c>
      <c r="J21" s="187" t="s">
        <v>20</v>
      </c>
      <c r="K21" s="195">
        <f xml:space="preserve"> 0.18 * 4</f>
        <v>0.72</v>
      </c>
      <c r="L21" s="446" t="s">
        <v>155</v>
      </c>
      <c r="M21" s="447"/>
      <c r="N21" s="448"/>
      <c r="O21" s="178">
        <v>1</v>
      </c>
      <c r="P21" s="178">
        <v>20</v>
      </c>
      <c r="Q21" s="187" t="s">
        <v>65</v>
      </c>
      <c r="R21" s="178"/>
      <c r="S21" s="186">
        <v>28</v>
      </c>
      <c r="T21" s="192"/>
      <c r="U21" s="298"/>
      <c r="V21" s="16"/>
      <c r="W21" s="16"/>
      <c r="X21" s="16"/>
    </row>
    <row r="22" spans="1:24" ht="13.15" customHeight="1" x14ac:dyDescent="0.25">
      <c r="A22" s="182">
        <v>29</v>
      </c>
      <c r="B22" s="176"/>
      <c r="C22" s="184" t="s">
        <v>65</v>
      </c>
      <c r="D22" s="178">
        <v>1</v>
      </c>
      <c r="E22" s="178">
        <v>20</v>
      </c>
      <c r="F22" s="446" t="s">
        <v>150</v>
      </c>
      <c r="G22" s="447"/>
      <c r="H22" s="448"/>
      <c r="I22" s="193">
        <v>1</v>
      </c>
      <c r="J22" s="191" t="s">
        <v>19</v>
      </c>
      <c r="K22" s="202">
        <f>5*0.18</f>
        <v>0.89999999999999991</v>
      </c>
      <c r="L22" s="446" t="s">
        <v>147</v>
      </c>
      <c r="M22" s="447"/>
      <c r="N22" s="448"/>
      <c r="O22" s="178">
        <v>1</v>
      </c>
      <c r="P22" s="178">
        <v>20</v>
      </c>
      <c r="Q22" s="184" t="s">
        <v>40</v>
      </c>
      <c r="R22" s="178"/>
      <c r="S22" s="225">
        <v>30</v>
      </c>
      <c r="T22" s="192"/>
      <c r="U22" s="298"/>
      <c r="V22" s="16"/>
      <c r="W22" s="16"/>
      <c r="X22" s="16"/>
    </row>
    <row r="23" spans="1:24" ht="13.15" customHeight="1" x14ac:dyDescent="0.25">
      <c r="A23" s="179">
        <v>31</v>
      </c>
      <c r="B23" s="176"/>
      <c r="C23" s="184" t="s">
        <v>65</v>
      </c>
      <c r="D23" s="178">
        <v>1</v>
      </c>
      <c r="E23" s="178">
        <v>20</v>
      </c>
      <c r="F23" s="446" t="s">
        <v>137</v>
      </c>
      <c r="G23" s="447"/>
      <c r="H23" s="448"/>
      <c r="I23" s="202">
        <f>12*0.12</f>
        <v>1.44</v>
      </c>
      <c r="J23" s="187" t="s">
        <v>18</v>
      </c>
      <c r="K23" s="202">
        <f>5*0.18</f>
        <v>0.89999999999999991</v>
      </c>
      <c r="L23" s="446" t="s">
        <v>151</v>
      </c>
      <c r="M23" s="447"/>
      <c r="N23" s="448"/>
      <c r="O23" s="178">
        <v>1</v>
      </c>
      <c r="P23" s="178">
        <v>20</v>
      </c>
      <c r="Q23" s="184" t="s">
        <v>40</v>
      </c>
      <c r="R23" s="178"/>
      <c r="S23" s="186">
        <v>32</v>
      </c>
      <c r="T23" s="192"/>
      <c r="U23" s="298"/>
      <c r="V23" s="16"/>
      <c r="W23" s="16"/>
      <c r="X23" s="16"/>
    </row>
    <row r="24" spans="1:24" ht="13.15" customHeight="1" x14ac:dyDescent="0.25">
      <c r="A24" s="179">
        <v>33</v>
      </c>
      <c r="B24" s="176"/>
      <c r="C24" s="184" t="s">
        <v>65</v>
      </c>
      <c r="D24" s="178">
        <v>1</v>
      </c>
      <c r="E24" s="178">
        <v>20</v>
      </c>
      <c r="F24" s="446" t="s">
        <v>152</v>
      </c>
      <c r="G24" s="447"/>
      <c r="H24" s="448"/>
      <c r="I24" s="193">
        <v>0.18</v>
      </c>
      <c r="J24" s="187" t="s">
        <v>20</v>
      </c>
      <c r="K24" s="194">
        <f>8*0.18</f>
        <v>1.44</v>
      </c>
      <c r="L24" s="446" t="s">
        <v>157</v>
      </c>
      <c r="M24" s="447"/>
      <c r="N24" s="448"/>
      <c r="O24" s="178">
        <v>1</v>
      </c>
      <c r="P24" s="178">
        <v>20</v>
      </c>
      <c r="Q24" s="187" t="s">
        <v>65</v>
      </c>
      <c r="R24" s="178"/>
      <c r="S24" s="186">
        <v>34</v>
      </c>
      <c r="T24" s="192"/>
      <c r="U24" s="298"/>
      <c r="V24" s="16"/>
      <c r="W24" s="16"/>
      <c r="X24" s="16"/>
    </row>
    <row r="25" spans="1:24" ht="13.15" customHeight="1" x14ac:dyDescent="0.25">
      <c r="A25" s="179">
        <v>35</v>
      </c>
      <c r="B25" s="176"/>
      <c r="C25" s="184" t="s">
        <v>65</v>
      </c>
      <c r="D25" s="178">
        <v>1</v>
      </c>
      <c r="E25" s="178">
        <v>20</v>
      </c>
      <c r="F25" s="446" t="s">
        <v>159</v>
      </c>
      <c r="G25" s="447"/>
      <c r="H25" s="448"/>
      <c r="I25" s="194">
        <f>0.18 * 4</f>
        <v>0.72</v>
      </c>
      <c r="J25" s="187" t="s">
        <v>19</v>
      </c>
      <c r="K25" s="194">
        <f>6*0.18</f>
        <v>1.08</v>
      </c>
      <c r="L25" s="446" t="s">
        <v>158</v>
      </c>
      <c r="M25" s="447"/>
      <c r="N25" s="448"/>
      <c r="O25" s="178">
        <v>1</v>
      </c>
      <c r="P25" s="178">
        <v>20</v>
      </c>
      <c r="Q25" s="187" t="s">
        <v>65</v>
      </c>
      <c r="R25" s="178"/>
      <c r="S25" s="186">
        <v>36</v>
      </c>
      <c r="T25" s="192"/>
      <c r="U25" s="298"/>
      <c r="V25" s="16"/>
      <c r="W25" s="16"/>
      <c r="X25" s="16"/>
    </row>
    <row r="26" spans="1:24" ht="13.15" customHeight="1" x14ac:dyDescent="0.25">
      <c r="A26" s="179">
        <v>37</v>
      </c>
      <c r="B26" s="176"/>
      <c r="C26" s="224" t="s">
        <v>65</v>
      </c>
      <c r="D26" s="178">
        <v>1</v>
      </c>
      <c r="E26" s="178">
        <v>20</v>
      </c>
      <c r="F26" s="449" t="s">
        <v>74</v>
      </c>
      <c r="G26" s="450"/>
      <c r="H26" s="451"/>
      <c r="I26" s="195">
        <v>0.18</v>
      </c>
      <c r="J26" s="187" t="s">
        <v>18</v>
      </c>
      <c r="K26" s="202" t="e">
        <f>#REF!</f>
        <v>#REF!</v>
      </c>
      <c r="L26" s="452" t="s">
        <v>83</v>
      </c>
      <c r="M26" s="453"/>
      <c r="N26" s="454"/>
      <c r="O26" s="438">
        <v>3</v>
      </c>
      <c r="P26" s="438">
        <v>100</v>
      </c>
      <c r="Q26" s="187" t="s">
        <v>40</v>
      </c>
      <c r="R26" s="176"/>
      <c r="S26" s="189">
        <v>38</v>
      </c>
      <c r="T26" s="192"/>
      <c r="U26" s="298"/>
      <c r="V26" s="16"/>
      <c r="W26" s="16"/>
      <c r="X26" s="16"/>
    </row>
    <row r="27" spans="1:24" ht="13.15" customHeight="1" x14ac:dyDescent="0.25">
      <c r="A27" s="180">
        <v>39</v>
      </c>
      <c r="B27" s="176"/>
      <c r="C27" s="178" t="s">
        <v>40</v>
      </c>
      <c r="D27" s="438">
        <v>2</v>
      </c>
      <c r="E27" s="438">
        <v>60</v>
      </c>
      <c r="F27" s="440" t="s">
        <v>49</v>
      </c>
      <c r="G27" s="441"/>
      <c r="H27" s="442"/>
      <c r="I27" s="196">
        <f>9/0.9/2</f>
        <v>5</v>
      </c>
      <c r="J27" s="187" t="s">
        <v>20</v>
      </c>
      <c r="K27" s="202" t="e">
        <f>#REF!</f>
        <v>#REF!</v>
      </c>
      <c r="L27" s="455"/>
      <c r="M27" s="456"/>
      <c r="N27" s="457"/>
      <c r="O27" s="461"/>
      <c r="P27" s="461"/>
      <c r="Q27" s="184" t="s">
        <v>40</v>
      </c>
      <c r="R27" s="178"/>
      <c r="S27" s="186">
        <v>40</v>
      </c>
      <c r="T27" s="192"/>
      <c r="U27" s="302"/>
      <c r="V27" s="57"/>
      <c r="W27" s="57"/>
      <c r="X27" s="57"/>
    </row>
    <row r="28" spans="1:24" ht="13.15" customHeight="1" thickBot="1" x14ac:dyDescent="0.3">
      <c r="A28" s="182">
        <v>41</v>
      </c>
      <c r="B28" s="176"/>
      <c r="C28" s="178" t="s">
        <v>40</v>
      </c>
      <c r="D28" s="439"/>
      <c r="E28" s="439"/>
      <c r="F28" s="443"/>
      <c r="G28" s="444"/>
      <c r="H28" s="445"/>
      <c r="I28" s="196">
        <f>I27</f>
        <v>5</v>
      </c>
      <c r="J28" s="191" t="s">
        <v>19</v>
      </c>
      <c r="K28" s="202" t="e">
        <f>#REF!</f>
        <v>#REF!</v>
      </c>
      <c r="L28" s="458"/>
      <c r="M28" s="459"/>
      <c r="N28" s="460"/>
      <c r="O28" s="462"/>
      <c r="P28" s="462"/>
      <c r="Q28" s="184" t="s">
        <v>40</v>
      </c>
      <c r="R28" s="183"/>
      <c r="S28" s="225">
        <v>42</v>
      </c>
      <c r="T28" s="192"/>
      <c r="U28" s="302"/>
      <c r="V28" s="57"/>
      <c r="W28" s="57"/>
      <c r="X28" s="57"/>
    </row>
    <row r="29" spans="1:24" ht="12.6" customHeight="1" x14ac:dyDescent="0.25">
      <c r="A29" s="205" t="s">
        <v>21</v>
      </c>
      <c r="B29" s="206"/>
      <c r="C29" s="273"/>
      <c r="D29" s="231"/>
      <c r="E29" s="207"/>
      <c r="F29" s="207"/>
      <c r="G29" s="208"/>
      <c r="H29" s="209"/>
      <c r="I29" s="379" t="s">
        <v>22</v>
      </c>
      <c r="J29" s="380"/>
      <c r="K29" s="380"/>
      <c r="L29" s="380"/>
      <c r="M29" s="380"/>
      <c r="N29" s="380"/>
      <c r="O29" s="380"/>
      <c r="P29" s="380"/>
      <c r="Q29" s="380"/>
      <c r="R29" s="380"/>
      <c r="S29" s="381"/>
      <c r="T29" s="192"/>
      <c r="U29" s="302"/>
      <c r="V29" s="57"/>
      <c r="W29" s="57"/>
      <c r="X29" s="57"/>
    </row>
    <row r="30" spans="1:24" ht="13.15" customHeight="1" x14ac:dyDescent="0.25">
      <c r="A30" s="275" t="s">
        <v>23</v>
      </c>
      <c r="B30" s="242"/>
      <c r="C30" s="274"/>
      <c r="D30" s="274"/>
      <c r="E30" s="274"/>
      <c r="F30" s="211" t="e">
        <f>SUMIF($J$8:$J$28,"=A",$I$8:$I$28)+SUMIF($J$8:$J$28,"=A",$K$8:$K$28)</f>
        <v>#REF!</v>
      </c>
      <c r="G30" s="244" t="s">
        <v>24</v>
      </c>
      <c r="H30" s="212"/>
      <c r="I30" s="382" t="s">
        <v>25</v>
      </c>
      <c r="J30" s="383"/>
      <c r="K30" s="383"/>
      <c r="L30" s="384"/>
      <c r="M30" s="214" t="s">
        <v>26</v>
      </c>
      <c r="N30" s="385" t="s">
        <v>27</v>
      </c>
      <c r="O30" s="386"/>
      <c r="P30" s="387"/>
      <c r="Q30" s="204"/>
      <c r="R30" s="204"/>
      <c r="S30" s="215"/>
      <c r="T30" s="192"/>
      <c r="U30" s="302"/>
      <c r="V30" s="57"/>
      <c r="W30" s="57"/>
      <c r="X30" s="57"/>
    </row>
    <row r="31" spans="1:24" ht="13.15" customHeight="1" x14ac:dyDescent="0.25">
      <c r="A31" s="275" t="s">
        <v>28</v>
      </c>
      <c r="B31" s="242"/>
      <c r="C31" s="274"/>
      <c r="D31" s="274"/>
      <c r="E31" s="274"/>
      <c r="F31" s="216" t="e">
        <f>SUMIF($J$8:$J$28,"=B",$I$8:$I$28)+SUMIF($J$8:$J$28,"=B",$K$8:$K$28)</f>
        <v>#REF!</v>
      </c>
      <c r="G31" s="244" t="s">
        <v>24</v>
      </c>
      <c r="H31" s="212"/>
      <c r="I31" s="388" t="s">
        <v>29</v>
      </c>
      <c r="J31" s="389"/>
      <c r="K31" s="389"/>
      <c r="L31" s="390"/>
      <c r="M31" s="217">
        <f>SUMIF($C$8:$C$28,"=C",$I$8:$I$28)+SUMIF($Q$8:$Q$28,"=C",$K$8:$K$28)</f>
        <v>5.5907499999999999</v>
      </c>
      <c r="N31" s="391">
        <v>1.25</v>
      </c>
      <c r="O31" s="392"/>
      <c r="P31" s="393"/>
      <c r="Q31" s="394">
        <f>$M31*1.25</f>
        <v>6.9884374999999999</v>
      </c>
      <c r="R31" s="395"/>
      <c r="S31" s="396"/>
      <c r="T31" s="192"/>
      <c r="U31" s="302"/>
      <c r="V31" s="57"/>
      <c r="W31" s="57"/>
      <c r="X31" s="57"/>
    </row>
    <row r="32" spans="1:24" ht="13.15" customHeight="1" x14ac:dyDescent="0.25">
      <c r="A32" s="275" t="s">
        <v>30</v>
      </c>
      <c r="B32" s="242"/>
      <c r="C32" s="274"/>
      <c r="D32" s="274"/>
      <c r="E32" s="274"/>
      <c r="F32" s="216" t="e">
        <f>SUMIF($J$8:$J$28,"=C",$I$8:$I$28)+SUMIF($J$8:$J$28,"=C",$K$8:$K$28)</f>
        <v>#REF!</v>
      </c>
      <c r="G32" s="244" t="s">
        <v>24</v>
      </c>
      <c r="H32" s="212"/>
      <c r="I32" s="397" t="s">
        <v>31</v>
      </c>
      <c r="J32" s="398"/>
      <c r="K32" s="398"/>
      <c r="L32" s="399"/>
      <c r="M32" s="218" t="e">
        <f>SUMIF($C$8:$C$28,"=D",$I$8:$I$28)+SUMIF($Q$8:$Q$28,"=D",$K$8:$K$28)</f>
        <v>#REF!</v>
      </c>
      <c r="N32" s="400">
        <v>1</v>
      </c>
      <c r="O32" s="401"/>
      <c r="P32" s="402"/>
      <c r="Q32" s="403" t="e">
        <f>$M32</f>
        <v>#REF!</v>
      </c>
      <c r="R32" s="404"/>
      <c r="S32" s="405"/>
      <c r="T32" s="192"/>
      <c r="U32" s="302"/>
      <c r="V32" s="57"/>
      <c r="W32" s="57"/>
      <c r="X32" s="57"/>
    </row>
    <row r="33" spans="1:24" ht="13.15" customHeight="1" x14ac:dyDescent="0.25">
      <c r="A33" s="275" t="s">
        <v>32</v>
      </c>
      <c r="B33" s="242"/>
      <c r="C33" s="274"/>
      <c r="D33" s="274"/>
      <c r="E33" s="274"/>
      <c r="F33" s="216" t="e">
        <f>SUM(F30:F32)</f>
        <v>#REF!</v>
      </c>
      <c r="G33" s="244" t="s">
        <v>24</v>
      </c>
      <c r="H33" s="212"/>
      <c r="I33" s="397" t="s">
        <v>33</v>
      </c>
      <c r="J33" s="398"/>
      <c r="K33" s="398"/>
      <c r="L33" s="399"/>
      <c r="M33" s="218">
        <f>SUMIF($C$8:$C$28,"=G",$I$8:$I$28)+SUMIF($Q$8:$Q$28,"=G",$K$8:$K$28)</f>
        <v>21.463999999999999</v>
      </c>
      <c r="N33" s="406" t="s">
        <v>37</v>
      </c>
      <c r="O33" s="407"/>
      <c r="P33" s="408"/>
      <c r="Q33" s="403">
        <f>IF($M33&gt;10,10+($M33-10)*0.5,$M33)</f>
        <v>15.731999999999999</v>
      </c>
      <c r="R33" s="404"/>
      <c r="S33" s="405"/>
      <c r="T33" s="192"/>
      <c r="U33" s="302"/>
      <c r="V33" s="57"/>
      <c r="W33" s="57"/>
      <c r="X33" s="57"/>
    </row>
    <row r="34" spans="1:24" ht="14.1" customHeight="1" x14ac:dyDescent="0.25">
      <c r="A34" s="219"/>
      <c r="B34" s="243"/>
      <c r="C34" s="243"/>
      <c r="D34" s="243"/>
      <c r="E34" s="243"/>
      <c r="F34" s="243"/>
      <c r="G34" s="244"/>
      <c r="H34" s="212"/>
      <c r="I34" s="397" t="s">
        <v>34</v>
      </c>
      <c r="J34" s="398"/>
      <c r="K34" s="398"/>
      <c r="L34" s="399"/>
      <c r="M34" s="218">
        <f>SUMIF($C$8:$C$28,"=K",$I$8:$I$28)+SUMIF($Q$8:$Q$28,"=K",$K$8:$K$28)</f>
        <v>0</v>
      </c>
      <c r="N34" s="400">
        <v>0.65</v>
      </c>
      <c r="O34" s="401"/>
      <c r="P34" s="402"/>
      <c r="Q34" s="403">
        <f>M34*(U13*U14*U15*U16)</f>
        <v>0</v>
      </c>
      <c r="R34" s="404"/>
      <c r="S34" s="405"/>
      <c r="T34" s="192"/>
      <c r="U34" s="302"/>
      <c r="V34" s="57"/>
      <c r="W34" s="57"/>
      <c r="X34" s="57"/>
    </row>
    <row r="35" spans="1:24" ht="14.1" customHeight="1" x14ac:dyDescent="0.25">
      <c r="A35" s="210"/>
      <c r="B35" s="243"/>
      <c r="C35" s="243"/>
      <c r="D35" s="243"/>
      <c r="E35" s="243"/>
      <c r="F35" s="243"/>
      <c r="G35" s="244"/>
      <c r="H35" s="212"/>
      <c r="I35" s="409" t="s">
        <v>47</v>
      </c>
      <c r="J35" s="410"/>
      <c r="K35" s="410"/>
      <c r="L35" s="411"/>
      <c r="M35" s="221">
        <f>SUM(U9:U10)</f>
        <v>2.8224</v>
      </c>
      <c r="N35" s="412" t="s">
        <v>36</v>
      </c>
      <c r="O35" s="413"/>
      <c r="P35" s="414"/>
      <c r="Q35" s="415">
        <f>U9+U10*1.25</f>
        <v>2.8224</v>
      </c>
      <c r="R35" s="416"/>
      <c r="S35" s="417"/>
      <c r="T35" s="192"/>
      <c r="U35" s="302"/>
      <c r="V35" s="57"/>
      <c r="W35" s="57"/>
      <c r="X35" s="57"/>
    </row>
    <row r="36" spans="1:24" ht="14.1" customHeight="1" thickBot="1" x14ac:dyDescent="0.3">
      <c r="A36" s="210"/>
      <c r="B36" s="243"/>
      <c r="C36" s="242"/>
      <c r="D36" s="243"/>
      <c r="E36" s="243"/>
      <c r="F36" s="243"/>
      <c r="G36" s="244"/>
      <c r="H36" s="242"/>
      <c r="I36" s="242"/>
      <c r="J36" s="242"/>
      <c r="K36" s="242"/>
      <c r="L36" s="242"/>
      <c r="M36" s="243"/>
      <c r="N36" s="418" t="s">
        <v>35</v>
      </c>
      <c r="O36" s="418"/>
      <c r="P36" s="418"/>
      <c r="Q36" s="419" t="e">
        <f>SUM(Q31:S35)</f>
        <v>#REF!</v>
      </c>
      <c r="R36" s="419"/>
      <c r="S36" s="420"/>
      <c r="T36" s="192"/>
      <c r="U36" s="302"/>
      <c r="V36" s="57"/>
      <c r="W36" s="57"/>
      <c r="X36" s="57"/>
    </row>
    <row r="37" spans="1:24" ht="14.1" customHeight="1" thickBot="1" x14ac:dyDescent="0.3">
      <c r="A37" s="210"/>
      <c r="B37" s="243"/>
      <c r="C37" s="242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407" t="s">
        <v>60</v>
      </c>
      <c r="O37" s="407"/>
      <c r="P37" s="421"/>
      <c r="Q37" s="422" t="e">
        <f>Q36/0.36</f>
        <v>#REF!</v>
      </c>
      <c r="R37" s="423"/>
      <c r="S37" s="424"/>
      <c r="T37" s="192"/>
      <c r="U37" s="302"/>
      <c r="V37" s="57"/>
      <c r="W37" s="57"/>
      <c r="X37" s="57"/>
    </row>
    <row r="38" spans="1:24" ht="14.1" customHeight="1" thickBot="1" x14ac:dyDescent="0.3">
      <c r="A38" s="296"/>
      <c r="B38" s="239"/>
      <c r="C38" s="297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40"/>
      <c r="O38" s="239"/>
      <c r="P38" s="239"/>
      <c r="Q38" s="239"/>
      <c r="R38" s="239"/>
      <c r="S38" s="241"/>
      <c r="U38" s="57"/>
      <c r="V38" s="57"/>
      <c r="W38" s="57"/>
      <c r="X38" s="57"/>
    </row>
    <row r="39" spans="1:24" ht="14.1" customHeight="1" x14ac:dyDescent="0.25">
      <c r="H39" s="2"/>
      <c r="I39" s="2"/>
      <c r="U39" s="57"/>
      <c r="V39" s="57"/>
      <c r="W39" s="57"/>
      <c r="X39" s="57"/>
    </row>
    <row r="40" spans="1:24" ht="14.1" customHeight="1" x14ac:dyDescent="0.25">
      <c r="H40" s="2"/>
      <c r="I40" s="2"/>
      <c r="O40" s="57"/>
      <c r="P40" s="57"/>
      <c r="Q40" s="1"/>
      <c r="R40" s="1"/>
      <c r="S40" s="1"/>
      <c r="T40" s="1"/>
    </row>
    <row r="41" spans="1:24" ht="14.1" customHeight="1" x14ac:dyDescent="0.25">
      <c r="H41" s="2"/>
      <c r="I41" s="2"/>
      <c r="P41" s="1"/>
      <c r="Q41" s="1"/>
      <c r="R41" s="1"/>
      <c r="S41" s="1"/>
      <c r="T41" s="1"/>
    </row>
    <row r="42" spans="1:24" ht="14.1" customHeight="1" x14ac:dyDescent="0.25">
      <c r="P42" s="1"/>
      <c r="Q42" s="1"/>
      <c r="R42" s="1"/>
      <c r="S42" s="1"/>
      <c r="T42" s="1"/>
    </row>
    <row r="44" spans="1:24" ht="14.1" customHeight="1" x14ac:dyDescent="0.25">
      <c r="A44" s="93"/>
      <c r="B44" s="93"/>
      <c r="C44" s="93"/>
      <c r="D44" s="93"/>
      <c r="E44" s="93"/>
      <c r="F44" s="94"/>
      <c r="G44" s="95"/>
      <c r="H44" s="95"/>
      <c r="I44" s="96"/>
    </row>
    <row r="46" spans="1:24" ht="14.1" customHeight="1" x14ac:dyDescent="0.25">
      <c r="K46" s="222"/>
      <c r="L46" s="425"/>
      <c r="M46" s="425"/>
      <c r="N46" s="425"/>
    </row>
  </sheetData>
  <mergeCells count="80">
    <mergeCell ref="O6:P6"/>
    <mergeCell ref="Q6:Q7"/>
    <mergeCell ref="A3:E5"/>
    <mergeCell ref="A6:A7"/>
    <mergeCell ref="B6:B7"/>
    <mergeCell ref="C6:C7"/>
    <mergeCell ref="D6:E6"/>
    <mergeCell ref="F6:H7"/>
    <mergeCell ref="R6:R7"/>
    <mergeCell ref="S6:S7"/>
    <mergeCell ref="F8:H8"/>
    <mergeCell ref="L8:N8"/>
    <mergeCell ref="F9:H9"/>
    <mergeCell ref="L9:N9"/>
    <mergeCell ref="I6:I7"/>
    <mergeCell ref="J6:J7"/>
    <mergeCell ref="K6:K7"/>
    <mergeCell ref="L6:N7"/>
    <mergeCell ref="F10:H10"/>
    <mergeCell ref="L10:N10"/>
    <mergeCell ref="F11:H11"/>
    <mergeCell ref="L11:N11"/>
    <mergeCell ref="F12:H12"/>
    <mergeCell ref="L12:N12"/>
    <mergeCell ref="F13:H13"/>
    <mergeCell ref="L13:N13"/>
    <mergeCell ref="F14:H14"/>
    <mergeCell ref="L14:N14"/>
    <mergeCell ref="F15:H15"/>
    <mergeCell ref="L15:N15"/>
    <mergeCell ref="F16:H16"/>
    <mergeCell ref="L16:N16"/>
    <mergeCell ref="F17:H17"/>
    <mergeCell ref="L17:N17"/>
    <mergeCell ref="F18:H18"/>
    <mergeCell ref="L18:N18"/>
    <mergeCell ref="F19:H19"/>
    <mergeCell ref="L19:N19"/>
    <mergeCell ref="F20:H20"/>
    <mergeCell ref="L20:N20"/>
    <mergeCell ref="F21:H21"/>
    <mergeCell ref="L21:N21"/>
    <mergeCell ref="F22:H22"/>
    <mergeCell ref="L22:N22"/>
    <mergeCell ref="F23:H23"/>
    <mergeCell ref="L23:N23"/>
    <mergeCell ref="F24:H24"/>
    <mergeCell ref="L24:N24"/>
    <mergeCell ref="F25:H25"/>
    <mergeCell ref="L25:N25"/>
    <mergeCell ref="F26:H26"/>
    <mergeCell ref="L26:N28"/>
    <mergeCell ref="O26:O28"/>
    <mergeCell ref="P26:P28"/>
    <mergeCell ref="D27:D28"/>
    <mergeCell ref="E27:E28"/>
    <mergeCell ref="F27:H28"/>
    <mergeCell ref="I29:S29"/>
    <mergeCell ref="I30:L30"/>
    <mergeCell ref="N30:P30"/>
    <mergeCell ref="I31:L31"/>
    <mergeCell ref="N31:P31"/>
    <mergeCell ref="Q31:S31"/>
    <mergeCell ref="I32:L32"/>
    <mergeCell ref="N32:P32"/>
    <mergeCell ref="Q32:S32"/>
    <mergeCell ref="I33:L33"/>
    <mergeCell ref="N33:P33"/>
    <mergeCell ref="Q33:S33"/>
    <mergeCell ref="I34:L34"/>
    <mergeCell ref="N34:P34"/>
    <mergeCell ref="Q34:S34"/>
    <mergeCell ref="L46:N46"/>
    <mergeCell ref="I35:L35"/>
    <mergeCell ref="N35:P35"/>
    <mergeCell ref="Q35:S35"/>
    <mergeCell ref="N36:P36"/>
    <mergeCell ref="Q36:S36"/>
    <mergeCell ref="N37:P37"/>
    <mergeCell ref="Q37:S37"/>
  </mergeCells>
  <pageMargins left="0.5" right="0.5" top="0.5" bottom="0.5" header="0.5" footer="0.5"/>
  <pageSetup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F408-486D-49E7-92AA-2BC4FFF9C6C0}">
  <sheetPr codeName="Sheet3">
    <tabColor rgb="FF00B050"/>
    <pageSetUpPr fitToPage="1"/>
  </sheetPr>
  <dimension ref="A1:Z69"/>
  <sheetViews>
    <sheetView showGridLines="0" tabSelected="1" zoomScale="130" zoomScaleNormal="130" workbookViewId="0">
      <selection activeCell="F9" sqref="F9:H9"/>
    </sheetView>
  </sheetViews>
  <sheetFormatPr defaultColWidth="9.28515625" defaultRowHeight="14.1" customHeight="1" x14ac:dyDescent="0.25"/>
  <cols>
    <col min="1" max="1" width="4" style="295" customWidth="1"/>
    <col min="2" max="5" width="4" style="192" customWidth="1"/>
    <col min="6" max="6" width="17.28515625" style="192" customWidth="1"/>
    <col min="7" max="7" width="18.7109375" style="192" customWidth="1"/>
    <col min="8" max="8" width="1.7109375" style="295" customWidth="1"/>
    <col min="9" max="9" width="6.7109375" style="295" customWidth="1"/>
    <col min="10" max="10" width="4" style="192" customWidth="1"/>
    <col min="11" max="11" width="6.7109375" style="192" customWidth="1"/>
    <col min="12" max="12" width="3.5703125" style="192" customWidth="1"/>
    <col min="13" max="13" width="9.5703125" style="192" customWidth="1"/>
    <col min="14" max="14" width="25.7109375" style="192" customWidth="1"/>
    <col min="15" max="15" width="4" style="295" customWidth="1"/>
    <col min="16" max="20" width="4" style="192" customWidth="1"/>
    <col min="21" max="21" width="9.28515625" style="295" customWidth="1"/>
    <col min="22" max="23" width="9.28515625" style="295"/>
    <col min="24" max="24" width="8.5703125" style="295" customWidth="1"/>
    <col min="25" max="16384" width="9.28515625" style="295"/>
  </cols>
  <sheetData>
    <row r="1" spans="1:26" ht="14.1" customHeight="1" thickBot="1" x14ac:dyDescent="0.3"/>
    <row r="2" spans="1:26" ht="14.1" customHeight="1" x14ac:dyDescent="0.25">
      <c r="A2" s="228"/>
      <c r="B2" s="229"/>
      <c r="C2" s="229"/>
      <c r="D2" s="229"/>
      <c r="E2" s="229"/>
      <c r="F2" s="230" t="s">
        <v>0</v>
      </c>
      <c r="G2" s="231" t="s">
        <v>164</v>
      </c>
      <c r="H2" s="208"/>
      <c r="I2" s="230" t="s">
        <v>1</v>
      </c>
      <c r="J2" s="230"/>
      <c r="K2" s="231">
        <v>4</v>
      </c>
      <c r="L2" s="207"/>
      <c r="M2" s="230" t="s">
        <v>2</v>
      </c>
      <c r="N2" s="231" t="s">
        <v>46</v>
      </c>
      <c r="O2" s="207"/>
      <c r="P2" s="232" t="s">
        <v>3</v>
      </c>
      <c r="Q2" s="232"/>
      <c r="R2" s="232"/>
      <c r="S2" s="233"/>
    </row>
    <row r="3" spans="1:26" ht="16.149999999999999" customHeight="1" x14ac:dyDescent="0.25">
      <c r="A3" s="483" t="s">
        <v>166</v>
      </c>
      <c r="B3" s="484"/>
      <c r="C3" s="484"/>
      <c r="D3" s="484"/>
      <c r="E3" s="484"/>
      <c r="F3" s="234" t="s">
        <v>4</v>
      </c>
      <c r="G3" s="235" t="s">
        <v>144</v>
      </c>
      <c r="H3" s="192"/>
      <c r="I3" s="234" t="s">
        <v>5</v>
      </c>
      <c r="J3" s="234"/>
      <c r="K3" s="204">
        <v>3</v>
      </c>
      <c r="M3" s="234" t="s">
        <v>6</v>
      </c>
      <c r="N3" s="236" t="s">
        <v>96</v>
      </c>
      <c r="O3" s="192"/>
      <c r="P3" s="220" t="s">
        <v>167</v>
      </c>
      <c r="Q3" s="235"/>
      <c r="R3" s="235"/>
      <c r="S3" s="237"/>
      <c r="U3" s="298"/>
      <c r="V3" s="298"/>
      <c r="W3" s="298"/>
      <c r="X3" s="298"/>
    </row>
    <row r="4" spans="1:26" ht="14.1" customHeight="1" x14ac:dyDescent="0.25">
      <c r="A4" s="483"/>
      <c r="B4" s="484"/>
      <c r="C4" s="484"/>
      <c r="D4" s="484"/>
      <c r="E4" s="484"/>
      <c r="F4" s="234" t="s">
        <v>7</v>
      </c>
      <c r="G4" s="238" t="s">
        <v>165</v>
      </c>
      <c r="H4" s="192"/>
      <c r="I4" s="234" t="s">
        <v>8</v>
      </c>
      <c r="J4" s="234"/>
      <c r="K4" s="204" t="s">
        <v>73</v>
      </c>
      <c r="M4" s="234" t="s">
        <v>9</v>
      </c>
      <c r="N4" s="236" t="s">
        <v>96</v>
      </c>
      <c r="O4" s="192"/>
      <c r="P4" s="213" t="s">
        <v>168</v>
      </c>
      <c r="Q4" s="204"/>
      <c r="R4" s="204"/>
      <c r="S4" s="215"/>
      <c r="U4" s="298"/>
      <c r="V4" s="298"/>
      <c r="W4" s="298"/>
      <c r="X4" s="298"/>
    </row>
    <row r="5" spans="1:26" ht="6" customHeight="1" thickBot="1" x14ac:dyDescent="0.3">
      <c r="A5" s="483"/>
      <c r="B5" s="485"/>
      <c r="C5" s="485"/>
      <c r="D5" s="485"/>
      <c r="E5" s="485"/>
      <c r="F5" s="243"/>
      <c r="G5" s="244"/>
      <c r="H5" s="244"/>
      <c r="I5" s="243"/>
      <c r="J5" s="243"/>
      <c r="K5" s="243"/>
      <c r="L5" s="243"/>
      <c r="M5" s="243"/>
      <c r="N5" s="244"/>
      <c r="O5" s="243"/>
      <c r="P5" s="243"/>
      <c r="Q5" s="243"/>
      <c r="R5" s="243"/>
      <c r="S5" s="272"/>
      <c r="U5" s="298"/>
      <c r="V5" s="298"/>
      <c r="W5" s="298"/>
      <c r="X5" s="298"/>
    </row>
    <row r="6" spans="1:26" s="299" customFormat="1" ht="31.15" customHeight="1" x14ac:dyDescent="0.2">
      <c r="A6" s="348" t="s">
        <v>39</v>
      </c>
      <c r="B6" s="342" t="s">
        <v>10</v>
      </c>
      <c r="C6" s="342" t="s">
        <v>11</v>
      </c>
      <c r="D6" s="350" t="s">
        <v>12</v>
      </c>
      <c r="E6" s="351"/>
      <c r="F6" s="352" t="s">
        <v>38</v>
      </c>
      <c r="G6" s="353"/>
      <c r="H6" s="354"/>
      <c r="I6" s="373" t="s">
        <v>14</v>
      </c>
      <c r="J6" s="342" t="s">
        <v>15</v>
      </c>
      <c r="K6" s="373" t="s">
        <v>14</v>
      </c>
      <c r="L6" s="352" t="s">
        <v>13</v>
      </c>
      <c r="M6" s="353"/>
      <c r="N6" s="354"/>
      <c r="O6" s="375" t="s">
        <v>12</v>
      </c>
      <c r="P6" s="375"/>
      <c r="Q6" s="342" t="s">
        <v>11</v>
      </c>
      <c r="R6" s="342" t="s">
        <v>10</v>
      </c>
      <c r="S6" s="361" t="s">
        <v>39</v>
      </c>
      <c r="U6" s="300"/>
      <c r="V6" s="300"/>
      <c r="W6" s="329"/>
      <c r="X6" s="328"/>
      <c r="Y6" s="327"/>
      <c r="Z6" s="327"/>
    </row>
    <row r="7" spans="1:26" s="299" customFormat="1" ht="13.9" customHeight="1" thickBot="1" x14ac:dyDescent="0.25">
      <c r="A7" s="486"/>
      <c r="B7" s="482"/>
      <c r="C7" s="482"/>
      <c r="D7" s="317" t="s">
        <v>16</v>
      </c>
      <c r="E7" s="263" t="s">
        <v>17</v>
      </c>
      <c r="F7" s="490"/>
      <c r="G7" s="491"/>
      <c r="H7" s="492"/>
      <c r="I7" s="489"/>
      <c r="J7" s="482"/>
      <c r="K7" s="489"/>
      <c r="L7" s="490"/>
      <c r="M7" s="491"/>
      <c r="N7" s="492"/>
      <c r="O7" s="263" t="s">
        <v>16</v>
      </c>
      <c r="P7" s="263" t="s">
        <v>17</v>
      </c>
      <c r="Q7" s="482"/>
      <c r="R7" s="482"/>
      <c r="S7" s="487"/>
      <c r="U7" s="300"/>
      <c r="V7" s="300"/>
      <c r="W7" s="300"/>
      <c r="X7" s="300"/>
    </row>
    <row r="8" spans="1:26" ht="13.15" customHeight="1" x14ac:dyDescent="0.25">
      <c r="A8" s="175">
        <v>1</v>
      </c>
      <c r="B8" s="320"/>
      <c r="C8" s="320"/>
      <c r="D8" s="320"/>
      <c r="E8" s="320"/>
      <c r="F8" s="488"/>
      <c r="G8" s="488"/>
      <c r="H8" s="488"/>
      <c r="I8" s="321"/>
      <c r="J8" s="203" t="s">
        <v>18</v>
      </c>
      <c r="K8" s="321"/>
      <c r="L8" s="488"/>
      <c r="M8" s="488"/>
      <c r="N8" s="488"/>
      <c r="O8" s="320"/>
      <c r="P8" s="320"/>
      <c r="Q8" s="320"/>
      <c r="R8" s="320"/>
      <c r="S8" s="185">
        <v>2</v>
      </c>
      <c r="U8" s="298"/>
      <c r="V8" s="298"/>
      <c r="W8" s="298"/>
      <c r="X8" s="298"/>
    </row>
    <row r="9" spans="1:26" ht="13.15" customHeight="1" x14ac:dyDescent="0.25">
      <c r="A9" s="177">
        <v>3</v>
      </c>
      <c r="B9" s="309"/>
      <c r="C9" s="309"/>
      <c r="D9" s="309"/>
      <c r="E9" s="309"/>
      <c r="F9" s="475"/>
      <c r="G9" s="475"/>
      <c r="H9" s="475"/>
      <c r="I9" s="312"/>
      <c r="J9" s="187" t="s">
        <v>20</v>
      </c>
      <c r="K9" s="312"/>
      <c r="L9" s="475"/>
      <c r="M9" s="475"/>
      <c r="N9" s="475"/>
      <c r="O9" s="309"/>
      <c r="P9" s="309"/>
      <c r="Q9" s="309"/>
      <c r="R9" s="309"/>
      <c r="S9" s="186">
        <v>4</v>
      </c>
      <c r="U9" s="301"/>
      <c r="V9" s="298"/>
      <c r="W9" s="298"/>
      <c r="X9" s="298"/>
    </row>
    <row r="10" spans="1:26" ht="13.15" customHeight="1" x14ac:dyDescent="0.25">
      <c r="A10" s="177">
        <v>5</v>
      </c>
      <c r="B10" s="309"/>
      <c r="C10" s="309"/>
      <c r="D10" s="309"/>
      <c r="E10" s="309"/>
      <c r="F10" s="475"/>
      <c r="G10" s="475"/>
      <c r="H10" s="475"/>
      <c r="I10" s="312"/>
      <c r="J10" s="187" t="s">
        <v>19</v>
      </c>
      <c r="K10" s="312"/>
      <c r="L10" s="475"/>
      <c r="M10" s="475"/>
      <c r="N10" s="475"/>
      <c r="O10" s="309"/>
      <c r="P10" s="309"/>
      <c r="Q10" s="309"/>
      <c r="R10" s="309"/>
      <c r="S10" s="186">
        <v>6</v>
      </c>
      <c r="U10" s="301"/>
      <c r="V10" s="298"/>
      <c r="W10" s="298"/>
      <c r="X10" s="298"/>
    </row>
    <row r="11" spans="1:26" ht="13.15" customHeight="1" x14ac:dyDescent="0.25">
      <c r="A11" s="177">
        <v>7</v>
      </c>
      <c r="B11" s="309"/>
      <c r="C11" s="309"/>
      <c r="D11" s="309"/>
      <c r="E11" s="309"/>
      <c r="F11" s="475"/>
      <c r="G11" s="475"/>
      <c r="H11" s="475"/>
      <c r="I11" s="312"/>
      <c r="J11" s="187" t="s">
        <v>18</v>
      </c>
      <c r="K11" s="312"/>
      <c r="L11" s="475"/>
      <c r="M11" s="475"/>
      <c r="N11" s="475"/>
      <c r="O11" s="309"/>
      <c r="P11" s="309"/>
      <c r="Q11" s="309"/>
      <c r="R11" s="309"/>
      <c r="S11" s="186">
        <v>8</v>
      </c>
      <c r="U11" s="298"/>
      <c r="V11" s="298"/>
      <c r="W11" s="298"/>
      <c r="X11" s="298"/>
    </row>
    <row r="12" spans="1:26" ht="13.15" customHeight="1" x14ac:dyDescent="0.25">
      <c r="A12" s="177">
        <v>9</v>
      </c>
      <c r="B12" s="309"/>
      <c r="C12" s="309"/>
      <c r="D12" s="309"/>
      <c r="E12" s="309"/>
      <c r="F12" s="475"/>
      <c r="G12" s="475"/>
      <c r="H12" s="475"/>
      <c r="I12" s="312"/>
      <c r="J12" s="187" t="s">
        <v>20</v>
      </c>
      <c r="K12" s="312"/>
      <c r="L12" s="475"/>
      <c r="M12" s="475"/>
      <c r="N12" s="475"/>
      <c r="O12" s="309"/>
      <c r="P12" s="309"/>
      <c r="Q12" s="309"/>
      <c r="R12" s="309"/>
      <c r="S12" s="186">
        <v>10</v>
      </c>
      <c r="U12" s="298"/>
      <c r="V12" s="298"/>
      <c r="W12" s="298"/>
      <c r="X12" s="298"/>
    </row>
    <row r="13" spans="1:26" ht="13.15" customHeight="1" x14ac:dyDescent="0.25">
      <c r="A13" s="177">
        <v>11</v>
      </c>
      <c r="B13" s="309"/>
      <c r="C13" s="309"/>
      <c r="D13" s="309"/>
      <c r="E13" s="309"/>
      <c r="F13" s="475"/>
      <c r="G13" s="475"/>
      <c r="H13" s="475"/>
      <c r="I13" s="312"/>
      <c r="J13" s="187" t="s">
        <v>19</v>
      </c>
      <c r="K13" s="312"/>
      <c r="L13" s="475"/>
      <c r="M13" s="475"/>
      <c r="N13" s="475"/>
      <c r="O13" s="309"/>
      <c r="P13" s="309"/>
      <c r="Q13" s="309"/>
      <c r="R13" s="309"/>
      <c r="S13" s="186">
        <v>12</v>
      </c>
      <c r="U13" s="298"/>
      <c r="V13" s="298"/>
      <c r="W13" s="298"/>
      <c r="X13" s="298"/>
    </row>
    <row r="14" spans="1:26" ht="13.15" customHeight="1" x14ac:dyDescent="0.25">
      <c r="A14" s="179">
        <v>13</v>
      </c>
      <c r="B14" s="309"/>
      <c r="C14" s="309"/>
      <c r="D14" s="309"/>
      <c r="E14" s="309"/>
      <c r="F14" s="475"/>
      <c r="G14" s="475"/>
      <c r="H14" s="475"/>
      <c r="I14" s="312"/>
      <c r="J14" s="187" t="s">
        <v>18</v>
      </c>
      <c r="K14" s="312"/>
      <c r="L14" s="475"/>
      <c r="M14" s="475"/>
      <c r="N14" s="475"/>
      <c r="O14" s="309"/>
      <c r="P14" s="309"/>
      <c r="Q14" s="309"/>
      <c r="R14" s="309"/>
      <c r="S14" s="186">
        <v>14</v>
      </c>
      <c r="U14" s="298"/>
      <c r="V14" s="298"/>
      <c r="W14" s="298"/>
      <c r="X14" s="298"/>
    </row>
    <row r="15" spans="1:26" ht="13.15" customHeight="1" x14ac:dyDescent="0.25">
      <c r="A15" s="179">
        <v>15</v>
      </c>
      <c r="B15" s="309"/>
      <c r="C15" s="309"/>
      <c r="D15" s="309"/>
      <c r="E15" s="309"/>
      <c r="F15" s="475"/>
      <c r="G15" s="475"/>
      <c r="H15" s="475"/>
      <c r="I15" s="312"/>
      <c r="J15" s="187" t="s">
        <v>20</v>
      </c>
      <c r="K15" s="312"/>
      <c r="L15" s="475"/>
      <c r="M15" s="475"/>
      <c r="N15" s="475"/>
      <c r="O15" s="309"/>
      <c r="P15" s="309"/>
      <c r="Q15" s="309"/>
      <c r="R15" s="309"/>
      <c r="S15" s="186">
        <v>16</v>
      </c>
      <c r="U15" s="298"/>
      <c r="V15" s="298"/>
      <c r="W15" s="298"/>
      <c r="X15" s="298"/>
    </row>
    <row r="16" spans="1:26" ht="13.15" customHeight="1" x14ac:dyDescent="0.25">
      <c r="A16" s="179">
        <v>17</v>
      </c>
      <c r="B16" s="309"/>
      <c r="C16" s="309"/>
      <c r="D16" s="309"/>
      <c r="E16" s="309"/>
      <c r="F16" s="475"/>
      <c r="G16" s="475"/>
      <c r="H16" s="475"/>
      <c r="I16" s="312"/>
      <c r="J16" s="187" t="s">
        <v>19</v>
      </c>
      <c r="K16" s="312"/>
      <c r="L16" s="475"/>
      <c r="M16" s="475"/>
      <c r="N16" s="475"/>
      <c r="O16" s="309"/>
      <c r="P16" s="309"/>
      <c r="Q16" s="309"/>
      <c r="R16" s="309"/>
      <c r="S16" s="186">
        <v>18</v>
      </c>
      <c r="U16" s="298"/>
      <c r="V16" s="298"/>
      <c r="W16" s="298"/>
      <c r="X16" s="298"/>
    </row>
    <row r="17" spans="1:24" ht="13.15" customHeight="1" x14ac:dyDescent="0.25">
      <c r="A17" s="179">
        <v>19</v>
      </c>
      <c r="B17" s="309"/>
      <c r="C17" s="309"/>
      <c r="D17" s="309"/>
      <c r="E17" s="309"/>
      <c r="F17" s="475"/>
      <c r="G17" s="475"/>
      <c r="H17" s="475"/>
      <c r="I17" s="312"/>
      <c r="J17" s="187" t="s">
        <v>18</v>
      </c>
      <c r="K17" s="312"/>
      <c r="L17" s="475"/>
      <c r="M17" s="475"/>
      <c r="N17" s="475"/>
      <c r="O17" s="309"/>
      <c r="P17" s="309"/>
      <c r="Q17" s="309"/>
      <c r="R17" s="309"/>
      <c r="S17" s="186">
        <v>20</v>
      </c>
      <c r="U17" s="298"/>
      <c r="V17" s="298"/>
      <c r="W17" s="298"/>
      <c r="X17" s="298"/>
    </row>
    <row r="18" spans="1:24" ht="13.15" customHeight="1" x14ac:dyDescent="0.25">
      <c r="A18" s="179">
        <v>21</v>
      </c>
      <c r="B18" s="309"/>
      <c r="C18" s="309"/>
      <c r="D18" s="309"/>
      <c r="E18" s="309"/>
      <c r="F18" s="475"/>
      <c r="G18" s="475"/>
      <c r="H18" s="475"/>
      <c r="I18" s="312"/>
      <c r="J18" s="187" t="s">
        <v>20</v>
      </c>
      <c r="K18" s="312"/>
      <c r="L18" s="475"/>
      <c r="M18" s="475"/>
      <c r="N18" s="475"/>
      <c r="O18" s="309"/>
      <c r="P18" s="309"/>
      <c r="Q18" s="309"/>
      <c r="R18" s="309"/>
      <c r="S18" s="186">
        <v>22</v>
      </c>
      <c r="U18" s="298"/>
      <c r="V18" s="298"/>
      <c r="W18" s="298"/>
      <c r="X18" s="298"/>
    </row>
    <row r="19" spans="1:24" ht="13.15" customHeight="1" x14ac:dyDescent="0.25">
      <c r="A19" s="179">
        <v>23</v>
      </c>
      <c r="B19" s="309"/>
      <c r="C19" s="309"/>
      <c r="D19" s="309"/>
      <c r="E19" s="309"/>
      <c r="F19" s="475"/>
      <c r="G19" s="475"/>
      <c r="H19" s="475"/>
      <c r="I19" s="312"/>
      <c r="J19" s="187" t="s">
        <v>19</v>
      </c>
      <c r="K19" s="312"/>
      <c r="L19" s="475"/>
      <c r="M19" s="475"/>
      <c r="N19" s="475"/>
      <c r="O19" s="309"/>
      <c r="P19" s="309"/>
      <c r="Q19" s="309"/>
      <c r="R19" s="309"/>
      <c r="S19" s="186">
        <v>24</v>
      </c>
      <c r="U19" s="298"/>
      <c r="V19" s="298"/>
      <c r="W19" s="298"/>
      <c r="X19" s="298"/>
    </row>
    <row r="20" spans="1:24" ht="13.15" customHeight="1" x14ac:dyDescent="0.25">
      <c r="A20" s="179">
        <v>25</v>
      </c>
      <c r="B20" s="309"/>
      <c r="C20" s="309"/>
      <c r="D20" s="309"/>
      <c r="E20" s="309"/>
      <c r="F20" s="475"/>
      <c r="G20" s="475"/>
      <c r="H20" s="475"/>
      <c r="I20" s="312"/>
      <c r="J20" s="187" t="s">
        <v>18</v>
      </c>
      <c r="K20" s="312"/>
      <c r="L20" s="475"/>
      <c r="M20" s="475"/>
      <c r="N20" s="475"/>
      <c r="O20" s="309"/>
      <c r="P20" s="309"/>
      <c r="Q20" s="309"/>
      <c r="R20" s="309"/>
      <c r="S20" s="186">
        <v>26</v>
      </c>
      <c r="U20" s="298"/>
      <c r="V20" s="298"/>
      <c r="W20" s="298"/>
      <c r="X20" s="298"/>
    </row>
    <row r="21" spans="1:24" ht="13.15" customHeight="1" x14ac:dyDescent="0.25">
      <c r="A21" s="179">
        <v>27</v>
      </c>
      <c r="B21" s="309"/>
      <c r="C21" s="309"/>
      <c r="D21" s="309"/>
      <c r="E21" s="309"/>
      <c r="F21" s="475"/>
      <c r="G21" s="475"/>
      <c r="H21" s="475"/>
      <c r="I21" s="312"/>
      <c r="J21" s="187" t="s">
        <v>20</v>
      </c>
      <c r="K21" s="312"/>
      <c r="L21" s="475"/>
      <c r="M21" s="475"/>
      <c r="N21" s="475"/>
      <c r="O21" s="309"/>
      <c r="P21" s="309"/>
      <c r="Q21" s="309"/>
      <c r="R21" s="309"/>
      <c r="S21" s="186">
        <v>28</v>
      </c>
      <c r="U21" s="298"/>
      <c r="V21" s="298"/>
      <c r="W21" s="298"/>
      <c r="X21" s="298"/>
    </row>
    <row r="22" spans="1:24" ht="13.15" customHeight="1" x14ac:dyDescent="0.25">
      <c r="A22" s="179">
        <v>29</v>
      </c>
      <c r="B22" s="309"/>
      <c r="C22" s="309"/>
      <c r="D22" s="309"/>
      <c r="E22" s="309"/>
      <c r="F22" s="475"/>
      <c r="G22" s="475"/>
      <c r="H22" s="475"/>
      <c r="I22" s="312"/>
      <c r="J22" s="187" t="s">
        <v>19</v>
      </c>
      <c r="K22" s="312"/>
      <c r="L22" s="475"/>
      <c r="M22" s="475"/>
      <c r="N22" s="475"/>
      <c r="O22" s="309"/>
      <c r="P22" s="309"/>
      <c r="Q22" s="309"/>
      <c r="R22" s="309"/>
      <c r="S22" s="186">
        <v>30</v>
      </c>
      <c r="U22" s="298"/>
      <c r="V22" s="298"/>
      <c r="W22" s="298"/>
      <c r="X22" s="298"/>
    </row>
    <row r="23" spans="1:24" ht="13.15" customHeight="1" x14ac:dyDescent="0.25">
      <c r="A23" s="179">
        <v>31</v>
      </c>
      <c r="B23" s="309"/>
      <c r="C23" s="309"/>
      <c r="D23" s="309"/>
      <c r="E23" s="309"/>
      <c r="F23" s="475"/>
      <c r="G23" s="475"/>
      <c r="H23" s="475"/>
      <c r="I23" s="312"/>
      <c r="J23" s="187" t="s">
        <v>18</v>
      </c>
      <c r="K23" s="312"/>
      <c r="L23" s="475"/>
      <c r="M23" s="475"/>
      <c r="N23" s="475"/>
      <c r="O23" s="309"/>
      <c r="P23" s="309"/>
      <c r="Q23" s="309"/>
      <c r="R23" s="309"/>
      <c r="S23" s="186">
        <v>32</v>
      </c>
      <c r="U23" s="298"/>
      <c r="V23" s="298"/>
      <c r="W23" s="298"/>
      <c r="X23" s="298"/>
    </row>
    <row r="24" spans="1:24" ht="13.15" customHeight="1" x14ac:dyDescent="0.25">
      <c r="A24" s="179">
        <v>33</v>
      </c>
      <c r="B24" s="309"/>
      <c r="C24" s="309"/>
      <c r="D24" s="309"/>
      <c r="E24" s="309"/>
      <c r="F24" s="475"/>
      <c r="G24" s="475"/>
      <c r="H24" s="475"/>
      <c r="I24" s="312"/>
      <c r="J24" s="187" t="s">
        <v>20</v>
      </c>
      <c r="K24" s="312"/>
      <c r="L24" s="475"/>
      <c r="M24" s="475"/>
      <c r="N24" s="475"/>
      <c r="O24" s="309"/>
      <c r="P24" s="309"/>
      <c r="Q24" s="309"/>
      <c r="R24" s="309"/>
      <c r="S24" s="186">
        <v>34</v>
      </c>
      <c r="U24" s="298"/>
      <c r="V24" s="298"/>
      <c r="W24" s="298"/>
      <c r="X24" s="298"/>
    </row>
    <row r="25" spans="1:24" ht="13.15" customHeight="1" x14ac:dyDescent="0.25">
      <c r="A25" s="179">
        <v>35</v>
      </c>
      <c r="B25" s="309"/>
      <c r="C25" s="309"/>
      <c r="D25" s="309"/>
      <c r="E25" s="309"/>
      <c r="F25" s="475"/>
      <c r="G25" s="475"/>
      <c r="H25" s="475"/>
      <c r="I25" s="312"/>
      <c r="J25" s="187" t="s">
        <v>19</v>
      </c>
      <c r="K25" s="312"/>
      <c r="L25" s="475"/>
      <c r="M25" s="475"/>
      <c r="N25" s="475"/>
      <c r="O25" s="309"/>
      <c r="P25" s="309"/>
      <c r="Q25" s="309"/>
      <c r="R25" s="309"/>
      <c r="S25" s="186">
        <v>36</v>
      </c>
      <c r="U25" s="298"/>
      <c r="V25" s="298"/>
      <c r="W25" s="298"/>
      <c r="X25" s="298"/>
    </row>
    <row r="26" spans="1:24" ht="13.15" customHeight="1" x14ac:dyDescent="0.25">
      <c r="A26" s="179">
        <v>37</v>
      </c>
      <c r="B26" s="309"/>
      <c r="C26" s="309"/>
      <c r="D26" s="309"/>
      <c r="E26" s="309"/>
      <c r="F26" s="475"/>
      <c r="G26" s="475"/>
      <c r="H26" s="475"/>
      <c r="I26" s="312"/>
      <c r="J26" s="187" t="s">
        <v>18</v>
      </c>
      <c r="K26" s="312"/>
      <c r="L26" s="475"/>
      <c r="M26" s="475"/>
      <c r="N26" s="475"/>
      <c r="O26" s="309"/>
      <c r="P26" s="309"/>
      <c r="Q26" s="309"/>
      <c r="R26" s="309"/>
      <c r="S26" s="186">
        <v>38</v>
      </c>
      <c r="U26" s="298"/>
      <c r="V26" s="298"/>
      <c r="W26" s="298"/>
      <c r="X26" s="298"/>
    </row>
    <row r="27" spans="1:24" ht="13.15" customHeight="1" x14ac:dyDescent="0.25">
      <c r="A27" s="179">
        <v>39</v>
      </c>
      <c r="B27" s="309"/>
      <c r="C27" s="309"/>
      <c r="D27" s="309"/>
      <c r="E27" s="309"/>
      <c r="F27" s="475"/>
      <c r="G27" s="475"/>
      <c r="H27" s="475"/>
      <c r="I27" s="312"/>
      <c r="J27" s="187" t="s">
        <v>20</v>
      </c>
      <c r="K27" s="312"/>
      <c r="L27" s="475"/>
      <c r="M27" s="475"/>
      <c r="N27" s="475"/>
      <c r="O27" s="309"/>
      <c r="P27" s="309"/>
      <c r="Q27" s="309"/>
      <c r="R27" s="309"/>
      <c r="S27" s="186">
        <v>40</v>
      </c>
      <c r="U27" s="302"/>
      <c r="V27" s="302"/>
      <c r="W27" s="302"/>
      <c r="X27" s="302"/>
    </row>
    <row r="28" spans="1:24" ht="13.15" customHeight="1" thickBot="1" x14ac:dyDescent="0.3">
      <c r="A28" s="322">
        <v>41</v>
      </c>
      <c r="B28" s="323"/>
      <c r="C28" s="323"/>
      <c r="D28" s="323"/>
      <c r="E28" s="323"/>
      <c r="F28" s="493"/>
      <c r="G28" s="493"/>
      <c r="H28" s="493"/>
      <c r="I28" s="324"/>
      <c r="J28" s="325" t="s">
        <v>19</v>
      </c>
      <c r="K28" s="324"/>
      <c r="L28" s="493"/>
      <c r="M28" s="493"/>
      <c r="N28" s="493"/>
      <c r="O28" s="323"/>
      <c r="P28" s="323"/>
      <c r="Q28" s="323"/>
      <c r="R28" s="323"/>
      <c r="S28" s="326">
        <v>42</v>
      </c>
      <c r="U28" s="298"/>
      <c r="V28" s="298"/>
      <c r="W28" s="298"/>
      <c r="X28" s="298"/>
    </row>
    <row r="29" spans="1:24" ht="12.6" customHeight="1" x14ac:dyDescent="0.25">
      <c r="A29" s="318" t="s">
        <v>21</v>
      </c>
      <c r="B29" s="235"/>
      <c r="C29" s="220"/>
      <c r="D29" s="235"/>
      <c r="E29" s="243"/>
      <c r="F29" s="243"/>
      <c r="G29" s="244"/>
      <c r="H29" s="319"/>
      <c r="I29" s="494" t="s">
        <v>22</v>
      </c>
      <c r="J29" s="495"/>
      <c r="K29" s="495"/>
      <c r="L29" s="495"/>
      <c r="M29" s="495"/>
      <c r="N29" s="495"/>
      <c r="O29" s="495"/>
      <c r="P29" s="495"/>
      <c r="Q29" s="495"/>
      <c r="R29" s="495"/>
      <c r="S29" s="496"/>
      <c r="U29" s="302"/>
      <c r="V29" s="302"/>
      <c r="W29" s="302"/>
      <c r="X29" s="302"/>
    </row>
    <row r="30" spans="1:24" ht="13.15" customHeight="1" x14ac:dyDescent="0.25">
      <c r="A30" s="311" t="s">
        <v>23</v>
      </c>
      <c r="B30" s="310"/>
      <c r="C30" s="295"/>
      <c r="D30" s="295"/>
      <c r="E30" s="295"/>
      <c r="F30" s="211">
        <f>SUMIF($J$8:$J$28,"=A",$I$8:$I$28)+SUMIF($J$8:$J$28,"=A",$K$8:$K$28)</f>
        <v>0</v>
      </c>
      <c r="G30" s="295" t="s">
        <v>24</v>
      </c>
      <c r="H30" s="212"/>
      <c r="I30" s="469" t="s">
        <v>25</v>
      </c>
      <c r="J30" s="470"/>
      <c r="K30" s="470"/>
      <c r="L30" s="471"/>
      <c r="M30" s="331" t="s">
        <v>26</v>
      </c>
      <c r="N30" s="497" t="s">
        <v>27</v>
      </c>
      <c r="O30" s="498"/>
      <c r="P30" s="499"/>
      <c r="Q30" s="332"/>
      <c r="R30" s="332"/>
      <c r="S30" s="333"/>
      <c r="U30" s="302"/>
      <c r="V30" s="302"/>
      <c r="W30" s="302"/>
      <c r="X30" s="302"/>
    </row>
    <row r="31" spans="1:24" ht="13.15" customHeight="1" x14ac:dyDescent="0.25">
      <c r="A31" s="311" t="s">
        <v>28</v>
      </c>
      <c r="B31" s="310"/>
      <c r="C31" s="295"/>
      <c r="D31" s="295"/>
      <c r="E31" s="295"/>
      <c r="F31" s="216">
        <f>SUMIF($J$8:$J$28,"=B",$I$8:$I$28)+SUMIF($J$8:$J$28,"=B",$K$8:$K$28)</f>
        <v>0</v>
      </c>
      <c r="G31" s="295" t="s">
        <v>24</v>
      </c>
      <c r="H31" s="212"/>
      <c r="I31" s="469" t="s">
        <v>29</v>
      </c>
      <c r="J31" s="470"/>
      <c r="K31" s="470"/>
      <c r="L31" s="471"/>
      <c r="M31" s="174">
        <f>SUMIF($C$8:$C$28,"=C",$I$8:$I$28)+SUMIF($Q$8:$Q$28,"=C",$K$8:$K$28)+M42+S51+S60</f>
        <v>0</v>
      </c>
      <c r="N31" s="500">
        <v>1.25</v>
      </c>
      <c r="O31" s="501"/>
      <c r="P31" s="501"/>
      <c r="Q31" s="502">
        <f>$M31*1.25</f>
        <v>0</v>
      </c>
      <c r="R31" s="503"/>
      <c r="S31" s="504"/>
      <c r="U31" s="302"/>
      <c r="V31" s="302"/>
      <c r="W31" s="302"/>
      <c r="X31" s="302"/>
    </row>
    <row r="32" spans="1:24" ht="13.15" customHeight="1" x14ac:dyDescent="0.25">
      <c r="A32" s="311" t="s">
        <v>30</v>
      </c>
      <c r="B32" s="310"/>
      <c r="C32" s="295"/>
      <c r="D32" s="295"/>
      <c r="E32" s="295"/>
      <c r="F32" s="216">
        <f>SUMIF($J$8:$J$28,"=C",$I$8:$I$28)+SUMIF($J$8:$J$28,"=C",$K$8:$K$28)</f>
        <v>0</v>
      </c>
      <c r="G32" s="295" t="s">
        <v>24</v>
      </c>
      <c r="H32" s="212"/>
      <c r="I32" s="472" t="s">
        <v>31</v>
      </c>
      <c r="J32" s="473"/>
      <c r="K32" s="473"/>
      <c r="L32" s="474"/>
      <c r="M32" s="330">
        <f>SUMIF($C$8:$C$28,"=D",$I$8:$I$28)+SUMIF($Q$8:$Q$28,"=D",$K$8:$K$28)+M43+S52+S61</f>
        <v>0</v>
      </c>
      <c r="N32" s="508">
        <v>1</v>
      </c>
      <c r="O32" s="509"/>
      <c r="P32" s="509"/>
      <c r="Q32" s="505">
        <f>$M32</f>
        <v>0</v>
      </c>
      <c r="R32" s="506"/>
      <c r="S32" s="507"/>
      <c r="U32" s="302"/>
      <c r="V32" s="302"/>
      <c r="W32" s="302"/>
      <c r="X32" s="302"/>
    </row>
    <row r="33" spans="1:24" ht="13.15" customHeight="1" x14ac:dyDescent="0.25">
      <c r="A33" s="311" t="s">
        <v>32</v>
      </c>
      <c r="B33" s="310"/>
      <c r="C33" s="295"/>
      <c r="D33" s="295"/>
      <c r="E33" s="295"/>
      <c r="F33" s="211">
        <f>SUM(F30:F32)</f>
        <v>0</v>
      </c>
      <c r="G33" s="295" t="s">
        <v>24</v>
      </c>
      <c r="H33" s="212"/>
      <c r="I33" s="472" t="s">
        <v>33</v>
      </c>
      <c r="J33" s="473"/>
      <c r="K33" s="473"/>
      <c r="L33" s="474"/>
      <c r="M33" s="330">
        <f>SUMIF($C$8:$C$28,"=G",$I$8:$I$28)+SUMIF($Q$8:$Q$28,"=G",$K$8:$K$28)+M44+S53+S62</f>
        <v>0</v>
      </c>
      <c r="N33" s="510" t="s">
        <v>37</v>
      </c>
      <c r="O33" s="511"/>
      <c r="P33" s="511"/>
      <c r="Q33" s="505">
        <f>IF($M33&gt;10,10+($M33-10)*0.5,$M33)</f>
        <v>0</v>
      </c>
      <c r="R33" s="506"/>
      <c r="S33" s="507"/>
      <c r="U33" s="302"/>
      <c r="V33" s="302"/>
      <c r="W33" s="302"/>
      <c r="X33" s="302"/>
    </row>
    <row r="34" spans="1:24" ht="14.1" customHeight="1" x14ac:dyDescent="0.25">
      <c r="A34" s="219"/>
      <c r="G34" s="295"/>
      <c r="H34" s="212"/>
      <c r="I34" s="472" t="s">
        <v>34</v>
      </c>
      <c r="J34" s="473"/>
      <c r="K34" s="473"/>
      <c r="L34" s="474"/>
      <c r="M34" s="330">
        <f>SUMIF($C$8:$C$28,"=K",$I$8:$I$28)+SUMIF($Q$8:$Q$28,"=K",$K$8:$K$28)+M45+S54+S63</f>
        <v>0</v>
      </c>
      <c r="N34" s="508" t="str">
        <f>"NEC Table 220.56 Demand Factor " &amp;
TEXT(
  CHOOSE(
    MIN(6, MAX(1, M37)),
    1, 1, 0.9, 0.8, 0.7, 0.65
  ),
"0%")</f>
        <v>NEC Table 220.56 Demand Factor 100%</v>
      </c>
      <c r="O34" s="509"/>
      <c r="P34" s="509"/>
      <c r="Q34" s="505">
        <f>IF(
  M37=0,
  0,
  (
    SUMIF($C$8:$C$28,"K",$I$8:$I$28)+SUMIF($Q$8:$Q$28,"K",$K$8:$K$28)+M45+S54+S63
  ) *
  CHOOSE(
    MIN(6, M37),
    1, 1, 0.9, 0.8, 0.7, 0.65
  )
)</f>
        <v>0</v>
      </c>
      <c r="R34" s="506"/>
      <c r="S34" s="507"/>
      <c r="U34" s="302"/>
      <c r="V34" s="302"/>
      <c r="W34" s="302"/>
      <c r="X34" s="302"/>
    </row>
    <row r="35" spans="1:24" ht="14.1" customHeight="1" x14ac:dyDescent="0.25">
      <c r="A35" s="210" t="s">
        <v>10</v>
      </c>
      <c r="B35" s="306"/>
      <c r="C35" s="306"/>
      <c r="D35" s="306"/>
      <c r="E35" s="306"/>
      <c r="F35" s="306"/>
      <c r="G35" s="295"/>
      <c r="H35" s="212"/>
      <c r="I35" s="472" t="s">
        <v>175</v>
      </c>
      <c r="J35" s="473"/>
      <c r="K35" s="473"/>
      <c r="L35" s="474"/>
      <c r="M35" s="330">
        <f>SUMIF($C$8:$C$28,"=M",$I$8:$I$28)+SUMIF($Q$8:$Q$28,"=M",$K$8:$K$28)+M46+M56+M66</f>
        <v>0</v>
      </c>
      <c r="N35" s="510" t="s">
        <v>176</v>
      </c>
      <c r="O35" s="511"/>
      <c r="P35" s="511"/>
      <c r="Q35" s="505">
        <f>M35</f>
        <v>0</v>
      </c>
      <c r="R35" s="506"/>
      <c r="S35" s="507"/>
      <c r="U35" s="302"/>
      <c r="V35" s="302"/>
      <c r="W35" s="302"/>
      <c r="X35" s="302"/>
    </row>
    <row r="36" spans="1:24" ht="14.1" customHeight="1" x14ac:dyDescent="0.25">
      <c r="A36" s="210" t="s">
        <v>169</v>
      </c>
      <c r="B36" s="306"/>
      <c r="C36" s="308"/>
      <c r="D36" s="306"/>
      <c r="E36" s="306"/>
      <c r="F36" s="306"/>
      <c r="G36" s="295"/>
      <c r="H36" s="310"/>
      <c r="I36" s="83" t="s">
        <v>179</v>
      </c>
      <c r="J36" s="13"/>
      <c r="K36" s="13"/>
      <c r="L36" s="81"/>
      <c r="M36" s="63">
        <f>SUMIF($C$8:$C$28,"=ML",$I$8:$I$28)+SUMIF($Q$8:$Q$28,"=ML",$K$8:$K$28)+M47+M57+M67</f>
        <v>0</v>
      </c>
      <c r="N36" s="476" t="s">
        <v>177</v>
      </c>
      <c r="O36" s="477"/>
      <c r="P36" s="477"/>
      <c r="Q36" s="512">
        <f>M36*1.25</f>
        <v>0</v>
      </c>
      <c r="R36" s="513"/>
      <c r="S36" s="514"/>
      <c r="U36" s="302"/>
      <c r="V36" s="302"/>
      <c r="W36" s="302"/>
      <c r="X36" s="302"/>
    </row>
    <row r="37" spans="1:24" ht="14.1" customHeight="1" x14ac:dyDescent="0.25">
      <c r="A37" s="315" t="s">
        <v>170</v>
      </c>
      <c r="B37" s="306"/>
      <c r="C37" s="308"/>
      <c r="D37" s="306"/>
      <c r="E37" s="306"/>
      <c r="F37" s="306"/>
      <c r="H37" s="192"/>
      <c r="I37" s="334" t="s">
        <v>178</v>
      </c>
      <c r="J37" s="12"/>
      <c r="K37" s="12"/>
      <c r="L37" s="67"/>
      <c r="M37" s="48">
        <f>COUNTIF($C$8:$C$28,"K")+COUNTIF($Q$8:$Q$28,"K")+M48+M58+M68</f>
        <v>0</v>
      </c>
      <c r="N37" s="515" t="s">
        <v>35</v>
      </c>
      <c r="O37" s="515"/>
      <c r="P37" s="515"/>
      <c r="Q37" s="516">
        <f>SUM(Q31:S36)</f>
        <v>0</v>
      </c>
      <c r="R37" s="516"/>
      <c r="S37" s="517"/>
      <c r="U37" s="302"/>
      <c r="V37" s="302"/>
      <c r="W37" s="302"/>
      <c r="X37" s="302"/>
    </row>
    <row r="38" spans="1:24" ht="14.1" customHeight="1" thickBot="1" x14ac:dyDescent="0.3">
      <c r="A38" s="316" t="s">
        <v>171</v>
      </c>
      <c r="B38" s="313"/>
      <c r="C38" s="314"/>
      <c r="D38" s="313"/>
      <c r="E38" s="313"/>
      <c r="F38" s="313"/>
      <c r="G38" s="239"/>
      <c r="H38" s="239"/>
      <c r="I38" s="19"/>
      <c r="J38" s="19"/>
      <c r="K38" s="19"/>
      <c r="L38" s="19"/>
      <c r="M38" s="19"/>
      <c r="N38" s="478" t="str">
        <f>"AMPS @ "&amp;G2&amp;", "&amp;K3&amp;" PHASE, "&amp;K2&amp;" WIRE"</f>
        <v>AMPS @ 120/208V, 3 PHASE, 4 WIRE</v>
      </c>
      <c r="O38" s="478"/>
      <c r="P38" s="478"/>
      <c r="Q38" s="518">
        <f>Q37/0.36</f>
        <v>0</v>
      </c>
      <c r="R38" s="518"/>
      <c r="S38" s="519"/>
      <c r="U38" s="302"/>
      <c r="V38" s="302"/>
      <c r="W38" s="302"/>
      <c r="X38" s="302"/>
    </row>
    <row r="39" spans="1:24" ht="14.1" customHeight="1" x14ac:dyDescent="0.25">
      <c r="H39" s="192"/>
      <c r="I39" s="2"/>
      <c r="J39" s="2"/>
      <c r="K39" s="2"/>
      <c r="L39" s="2"/>
      <c r="M39" s="2"/>
      <c r="N39" s="2"/>
      <c r="O39" s="1"/>
      <c r="P39" s="2"/>
      <c r="Q39" s="2"/>
      <c r="R39" s="2"/>
      <c r="S39" s="2"/>
      <c r="U39" s="302"/>
      <c r="V39" s="302"/>
      <c r="W39" s="302"/>
      <c r="X39" s="302"/>
    </row>
    <row r="40" spans="1:24" ht="14.1" customHeight="1" x14ac:dyDescent="0.25">
      <c r="H40" s="192"/>
      <c r="I40" s="479" t="s">
        <v>172</v>
      </c>
      <c r="J40" s="480"/>
      <c r="K40" s="480"/>
      <c r="L40" s="480"/>
      <c r="M40" s="481"/>
      <c r="N40" s="2"/>
      <c r="O40" s="57"/>
      <c r="P40" s="57"/>
      <c r="Q40" s="1"/>
      <c r="R40" s="1"/>
      <c r="S40" s="1"/>
      <c r="T40" s="295"/>
    </row>
    <row r="41" spans="1:24" ht="14.1" customHeight="1" x14ac:dyDescent="0.25">
      <c r="H41" s="192"/>
      <c r="I41" s="469" t="s">
        <v>25</v>
      </c>
      <c r="J41" s="470"/>
      <c r="K41" s="470"/>
      <c r="L41" s="471"/>
      <c r="M41" s="331" t="s">
        <v>26</v>
      </c>
      <c r="N41" s="2"/>
      <c r="O41" s="1"/>
      <c r="P41" s="1"/>
      <c r="Q41" s="1"/>
      <c r="R41" s="1"/>
      <c r="S41" s="1"/>
      <c r="T41" s="295"/>
    </row>
    <row r="42" spans="1:24" ht="14.1" customHeight="1" x14ac:dyDescent="0.25">
      <c r="I42" s="469" t="s">
        <v>29</v>
      </c>
      <c r="J42" s="470"/>
      <c r="K42" s="470"/>
      <c r="L42" s="471"/>
      <c r="M42" s="335"/>
      <c r="N42" s="2"/>
      <c r="O42" s="1"/>
      <c r="P42" s="1"/>
      <c r="Q42" s="1"/>
      <c r="R42" s="1"/>
      <c r="S42" s="1"/>
      <c r="T42" s="295"/>
    </row>
    <row r="43" spans="1:24" ht="14.1" customHeight="1" x14ac:dyDescent="0.25">
      <c r="I43" s="472" t="s">
        <v>31</v>
      </c>
      <c r="J43" s="473"/>
      <c r="K43" s="473"/>
      <c r="L43" s="474"/>
      <c r="M43" s="336"/>
      <c r="N43" s="2"/>
      <c r="O43" s="1"/>
      <c r="P43" s="2"/>
      <c r="Q43" s="2"/>
      <c r="R43" s="2"/>
      <c r="S43" s="2"/>
    </row>
    <row r="44" spans="1:24" ht="14.1" customHeight="1" x14ac:dyDescent="0.25">
      <c r="A44" s="306"/>
      <c r="B44" s="306"/>
      <c r="C44" s="306"/>
      <c r="D44" s="306"/>
      <c r="E44" s="306"/>
      <c r="F44" s="307"/>
      <c r="G44" s="308"/>
      <c r="H44" s="308"/>
      <c r="I44" s="472" t="s">
        <v>33</v>
      </c>
      <c r="J44" s="473"/>
      <c r="K44" s="473"/>
      <c r="L44" s="474"/>
      <c r="M44" s="336"/>
      <c r="N44" s="2"/>
      <c r="O44" s="1"/>
      <c r="P44" s="2"/>
      <c r="Q44" s="2"/>
      <c r="R44" s="2"/>
      <c r="S44" s="2"/>
    </row>
    <row r="45" spans="1:24" ht="14.1" customHeight="1" x14ac:dyDescent="0.25">
      <c r="I45" s="472" t="s">
        <v>34</v>
      </c>
      <c r="J45" s="473"/>
      <c r="K45" s="473"/>
      <c r="L45" s="474"/>
      <c r="M45" s="336"/>
      <c r="N45" s="2"/>
      <c r="O45" s="1"/>
      <c r="P45" s="2"/>
      <c r="Q45" s="2"/>
      <c r="R45" s="2"/>
      <c r="S45" s="2"/>
    </row>
    <row r="46" spans="1:24" ht="14.1" customHeight="1" x14ac:dyDescent="0.25">
      <c r="I46" s="472" t="s">
        <v>175</v>
      </c>
      <c r="J46" s="473"/>
      <c r="K46" s="473"/>
      <c r="L46" s="474"/>
      <c r="M46" s="336"/>
      <c r="N46" s="337"/>
      <c r="O46" s="1"/>
      <c r="P46" s="2"/>
      <c r="Q46" s="2"/>
      <c r="R46" s="2"/>
      <c r="S46" s="2"/>
    </row>
    <row r="47" spans="1:24" ht="14.1" customHeight="1" x14ac:dyDescent="0.25">
      <c r="I47" s="83" t="s">
        <v>179</v>
      </c>
      <c r="J47" s="13"/>
      <c r="K47" s="13"/>
      <c r="L47" s="81"/>
      <c r="M47" s="338"/>
      <c r="N47" s="2"/>
      <c r="O47" s="1"/>
      <c r="P47" s="2"/>
      <c r="Q47" s="2"/>
      <c r="R47" s="2"/>
      <c r="S47" s="2"/>
    </row>
    <row r="48" spans="1:24" ht="14.1" customHeight="1" x14ac:dyDescent="0.25">
      <c r="I48" s="334" t="s">
        <v>178</v>
      </c>
      <c r="J48" s="12"/>
      <c r="K48" s="12"/>
      <c r="L48" s="67"/>
      <c r="M48" s="48"/>
      <c r="N48" s="2"/>
      <c r="O48" s="1"/>
      <c r="P48" s="2"/>
      <c r="Q48" s="2"/>
      <c r="R48" s="2"/>
      <c r="S48" s="2"/>
    </row>
    <row r="49" spans="9:19" ht="14.1" customHeight="1" x14ac:dyDescent="0.25">
      <c r="I49" s="1"/>
      <c r="J49" s="2"/>
      <c r="K49" s="2"/>
      <c r="L49" s="2"/>
      <c r="M49" s="2"/>
      <c r="N49" s="2"/>
      <c r="O49" s="511"/>
      <c r="P49" s="511"/>
      <c r="Q49" s="511"/>
      <c r="R49" s="511"/>
      <c r="S49" s="511"/>
    </row>
    <row r="50" spans="9:19" ht="14.1" customHeight="1" x14ac:dyDescent="0.25">
      <c r="I50" s="479" t="s">
        <v>173</v>
      </c>
      <c r="J50" s="480"/>
      <c r="K50" s="480"/>
      <c r="L50" s="480"/>
      <c r="M50" s="481"/>
      <c r="N50" s="2"/>
      <c r="O50" s="473"/>
      <c r="P50" s="473"/>
      <c r="Q50" s="473"/>
      <c r="R50" s="473"/>
      <c r="S50" s="2"/>
    </row>
    <row r="51" spans="9:19" ht="14.1" customHeight="1" x14ac:dyDescent="0.25">
      <c r="I51" s="469" t="s">
        <v>25</v>
      </c>
      <c r="J51" s="470"/>
      <c r="K51" s="470"/>
      <c r="L51" s="471"/>
      <c r="M51" s="331" t="s">
        <v>26</v>
      </c>
      <c r="N51" s="2"/>
      <c r="O51" s="473"/>
      <c r="P51" s="473"/>
      <c r="Q51" s="473"/>
      <c r="R51" s="473"/>
      <c r="S51" s="330"/>
    </row>
    <row r="52" spans="9:19" ht="14.1" customHeight="1" x14ac:dyDescent="0.25">
      <c r="I52" s="469" t="s">
        <v>29</v>
      </c>
      <c r="J52" s="470"/>
      <c r="K52" s="470"/>
      <c r="L52" s="471"/>
      <c r="M52" s="335"/>
      <c r="N52" s="2"/>
      <c r="O52" s="473"/>
      <c r="P52" s="473"/>
      <c r="Q52" s="473"/>
      <c r="R52" s="473"/>
      <c r="S52" s="330"/>
    </row>
    <row r="53" spans="9:19" ht="14.1" customHeight="1" x14ac:dyDescent="0.25">
      <c r="I53" s="472" t="s">
        <v>31</v>
      </c>
      <c r="J53" s="473"/>
      <c r="K53" s="473"/>
      <c r="L53" s="474"/>
      <c r="M53" s="336"/>
      <c r="N53" s="2"/>
      <c r="O53" s="473"/>
      <c r="P53" s="473"/>
      <c r="Q53" s="473"/>
      <c r="R53" s="473"/>
      <c r="S53" s="330"/>
    </row>
    <row r="54" spans="9:19" ht="14.1" customHeight="1" x14ac:dyDescent="0.25">
      <c r="I54" s="472" t="s">
        <v>33</v>
      </c>
      <c r="J54" s="473"/>
      <c r="K54" s="473"/>
      <c r="L54" s="474"/>
      <c r="M54" s="336"/>
      <c r="N54" s="2"/>
      <c r="O54" s="473"/>
      <c r="P54" s="473"/>
      <c r="Q54" s="473"/>
      <c r="R54" s="473"/>
      <c r="S54" s="330"/>
    </row>
    <row r="55" spans="9:19" ht="14.1" customHeight="1" x14ac:dyDescent="0.25">
      <c r="I55" s="472" t="s">
        <v>34</v>
      </c>
      <c r="J55" s="473"/>
      <c r="K55" s="473"/>
      <c r="L55" s="474"/>
      <c r="M55" s="336"/>
      <c r="N55" s="2"/>
      <c r="O55" s="473"/>
      <c r="P55" s="473"/>
      <c r="Q55" s="473"/>
      <c r="R55" s="473"/>
      <c r="S55" s="330"/>
    </row>
    <row r="56" spans="9:19" ht="14.1" customHeight="1" x14ac:dyDescent="0.25">
      <c r="I56" s="472" t="s">
        <v>175</v>
      </c>
      <c r="J56" s="473"/>
      <c r="K56" s="473"/>
      <c r="L56" s="474"/>
      <c r="M56" s="336"/>
      <c r="N56" s="2"/>
      <c r="O56" s="1"/>
      <c r="P56" s="2"/>
      <c r="Q56" s="2"/>
      <c r="R56" s="2"/>
      <c r="S56" s="2"/>
    </row>
    <row r="57" spans="9:19" ht="14.1" customHeight="1" x14ac:dyDescent="0.25">
      <c r="I57" s="83" t="s">
        <v>179</v>
      </c>
      <c r="J57" s="13"/>
      <c r="K57" s="13"/>
      <c r="L57" s="81"/>
      <c r="M57" s="338"/>
      <c r="N57" s="2"/>
      <c r="O57" s="1"/>
      <c r="P57" s="2"/>
      <c r="Q57" s="2"/>
      <c r="R57" s="2"/>
      <c r="S57" s="2"/>
    </row>
    <row r="58" spans="9:19" ht="14.1" customHeight="1" x14ac:dyDescent="0.25">
      <c r="I58" s="334" t="s">
        <v>178</v>
      </c>
      <c r="J58" s="12"/>
      <c r="K58" s="12"/>
      <c r="L58" s="67"/>
      <c r="M58" s="48"/>
      <c r="N58" s="2"/>
      <c r="O58" s="511"/>
      <c r="P58" s="511"/>
      <c r="Q58" s="511"/>
      <c r="R58" s="511"/>
      <c r="S58" s="511"/>
    </row>
    <row r="59" spans="9:19" ht="14.1" customHeight="1" x14ac:dyDescent="0.25">
      <c r="I59" s="1"/>
      <c r="J59" s="2"/>
      <c r="K59" s="2"/>
      <c r="L59" s="2"/>
      <c r="M59" s="2"/>
      <c r="N59" s="2"/>
      <c r="O59" s="473"/>
      <c r="P59" s="473"/>
      <c r="Q59" s="473"/>
      <c r="R59" s="473"/>
      <c r="S59" s="2"/>
    </row>
    <row r="60" spans="9:19" ht="14.1" customHeight="1" x14ac:dyDescent="0.25">
      <c r="I60" s="479" t="s">
        <v>174</v>
      </c>
      <c r="J60" s="480"/>
      <c r="K60" s="480"/>
      <c r="L60" s="480"/>
      <c r="M60" s="481"/>
      <c r="N60" s="2"/>
      <c r="O60" s="473"/>
      <c r="P60" s="473"/>
      <c r="Q60" s="473"/>
      <c r="R60" s="473"/>
      <c r="S60" s="330"/>
    </row>
    <row r="61" spans="9:19" ht="14.1" customHeight="1" x14ac:dyDescent="0.25">
      <c r="I61" s="469" t="s">
        <v>25</v>
      </c>
      <c r="J61" s="470"/>
      <c r="K61" s="470"/>
      <c r="L61" s="471"/>
      <c r="M61" s="331" t="s">
        <v>26</v>
      </c>
      <c r="N61" s="2"/>
      <c r="O61" s="473"/>
      <c r="P61" s="473"/>
      <c r="Q61" s="473"/>
      <c r="R61" s="473"/>
      <c r="S61" s="330"/>
    </row>
    <row r="62" spans="9:19" ht="14.1" customHeight="1" x14ac:dyDescent="0.25">
      <c r="I62" s="469" t="s">
        <v>29</v>
      </c>
      <c r="J62" s="470"/>
      <c r="K62" s="470"/>
      <c r="L62" s="471"/>
      <c r="M62" s="335"/>
      <c r="N62" s="2"/>
      <c r="O62" s="473"/>
      <c r="P62" s="473"/>
      <c r="Q62" s="473"/>
      <c r="R62" s="473"/>
      <c r="S62" s="330"/>
    </row>
    <row r="63" spans="9:19" ht="14.1" customHeight="1" x14ac:dyDescent="0.25">
      <c r="I63" s="472" t="s">
        <v>31</v>
      </c>
      <c r="J63" s="473"/>
      <c r="K63" s="473"/>
      <c r="L63" s="474"/>
      <c r="M63" s="336"/>
      <c r="N63" s="2"/>
      <c r="O63" s="473"/>
      <c r="P63" s="473"/>
      <c r="Q63" s="473"/>
      <c r="R63" s="473"/>
      <c r="S63" s="330"/>
    </row>
    <row r="64" spans="9:19" ht="14.1" customHeight="1" x14ac:dyDescent="0.25">
      <c r="I64" s="472" t="s">
        <v>33</v>
      </c>
      <c r="J64" s="473"/>
      <c r="K64" s="473"/>
      <c r="L64" s="474"/>
      <c r="M64" s="336"/>
      <c r="N64" s="2"/>
      <c r="O64" s="473"/>
      <c r="P64" s="473"/>
      <c r="Q64" s="473"/>
      <c r="R64" s="473"/>
      <c r="S64" s="330"/>
    </row>
    <row r="65" spans="9:19" ht="14.1" customHeight="1" x14ac:dyDescent="0.25">
      <c r="I65" s="472" t="s">
        <v>34</v>
      </c>
      <c r="J65" s="473"/>
      <c r="K65" s="473"/>
      <c r="L65" s="474"/>
      <c r="M65" s="336"/>
      <c r="N65" s="2"/>
      <c r="O65" s="1"/>
      <c r="P65" s="2"/>
      <c r="Q65" s="2"/>
      <c r="R65" s="2"/>
      <c r="S65" s="2"/>
    </row>
    <row r="66" spans="9:19" ht="14.1" customHeight="1" x14ac:dyDescent="0.25">
      <c r="I66" s="472" t="s">
        <v>175</v>
      </c>
      <c r="J66" s="473"/>
      <c r="K66" s="473"/>
      <c r="L66" s="474"/>
      <c r="M66" s="336"/>
      <c r="N66" s="2"/>
      <c r="O66" s="1"/>
      <c r="P66" s="2"/>
      <c r="Q66" s="2"/>
      <c r="R66" s="2"/>
      <c r="S66" s="2"/>
    </row>
    <row r="67" spans="9:19" ht="14.1" customHeight="1" x14ac:dyDescent="0.25">
      <c r="I67" s="83" t="s">
        <v>179</v>
      </c>
      <c r="J67" s="13"/>
      <c r="K67" s="13"/>
      <c r="L67" s="81"/>
      <c r="M67" s="338"/>
      <c r="N67" s="2"/>
      <c r="O67" s="1"/>
      <c r="P67" s="2"/>
      <c r="Q67" s="2"/>
      <c r="R67" s="2"/>
      <c r="S67" s="2"/>
    </row>
    <row r="68" spans="9:19" ht="14.1" customHeight="1" x14ac:dyDescent="0.25">
      <c r="I68" s="334" t="s">
        <v>178</v>
      </c>
      <c r="J68" s="12"/>
      <c r="K68" s="12"/>
      <c r="L68" s="67"/>
      <c r="M68" s="48"/>
      <c r="N68" s="2"/>
      <c r="O68" s="1"/>
      <c r="P68" s="2"/>
      <c r="Q68" s="2"/>
      <c r="R68" s="2"/>
      <c r="S68" s="2"/>
    </row>
    <row r="69" spans="9:19" ht="14.1" customHeight="1" x14ac:dyDescent="0.25">
      <c r="I69" s="1"/>
      <c r="J69" s="2"/>
      <c r="K69" s="2"/>
      <c r="L69" s="2"/>
      <c r="M69" s="2"/>
      <c r="N69" s="2"/>
      <c r="O69" s="1"/>
      <c r="P69" s="2"/>
      <c r="Q69" s="2"/>
      <c r="R69" s="2"/>
      <c r="S69" s="2"/>
    </row>
  </sheetData>
  <mergeCells count="115">
    <mergeCell ref="I64:L64"/>
    <mergeCell ref="O64:R64"/>
    <mergeCell ref="I65:L65"/>
    <mergeCell ref="I66:L66"/>
    <mergeCell ref="O59:R59"/>
    <mergeCell ref="I60:M60"/>
    <mergeCell ref="O60:R60"/>
    <mergeCell ref="O61:R61"/>
    <mergeCell ref="O62:R62"/>
    <mergeCell ref="I63:L63"/>
    <mergeCell ref="O63:R63"/>
    <mergeCell ref="O53:R53"/>
    <mergeCell ref="O54:R54"/>
    <mergeCell ref="I55:L55"/>
    <mergeCell ref="O55:R55"/>
    <mergeCell ref="I56:L56"/>
    <mergeCell ref="O58:S58"/>
    <mergeCell ref="Q38:S38"/>
    <mergeCell ref="O49:S49"/>
    <mergeCell ref="I50:M50"/>
    <mergeCell ref="O50:R50"/>
    <mergeCell ref="O51:R51"/>
    <mergeCell ref="O52:R52"/>
    <mergeCell ref="I44:L44"/>
    <mergeCell ref="I46:L46"/>
    <mergeCell ref="I45:L45"/>
    <mergeCell ref="I51:L51"/>
    <mergeCell ref="F23:H23"/>
    <mergeCell ref="F24:H24"/>
    <mergeCell ref="I32:L32"/>
    <mergeCell ref="N32:P32"/>
    <mergeCell ref="Q36:S36"/>
    <mergeCell ref="N37:P37"/>
    <mergeCell ref="Q37:S37"/>
    <mergeCell ref="Q32:S32"/>
    <mergeCell ref="I33:L33"/>
    <mergeCell ref="N33:P33"/>
    <mergeCell ref="Q33:S33"/>
    <mergeCell ref="I34:L34"/>
    <mergeCell ref="N34:P34"/>
    <mergeCell ref="Q34:S34"/>
    <mergeCell ref="I35:L35"/>
    <mergeCell ref="N35:P35"/>
    <mergeCell ref="Q35:S35"/>
    <mergeCell ref="F28:H28"/>
    <mergeCell ref="I29:S29"/>
    <mergeCell ref="I30:L30"/>
    <mergeCell ref="N30:P30"/>
    <mergeCell ref="I31:L31"/>
    <mergeCell ref="N31:P31"/>
    <mergeCell ref="Q31:S31"/>
    <mergeCell ref="F21:H21"/>
    <mergeCell ref="L21:N21"/>
    <mergeCell ref="L26:N26"/>
    <mergeCell ref="L27:N27"/>
    <mergeCell ref="L28:N28"/>
    <mergeCell ref="F22:H22"/>
    <mergeCell ref="L25:N25"/>
    <mergeCell ref="F25:H25"/>
    <mergeCell ref="F26:H26"/>
    <mergeCell ref="F27:H27"/>
    <mergeCell ref="F18:H18"/>
    <mergeCell ref="L18:N18"/>
    <mergeCell ref="F19:H19"/>
    <mergeCell ref="L19:N19"/>
    <mergeCell ref="F20:H20"/>
    <mergeCell ref="L20:N20"/>
    <mergeCell ref="F15:H15"/>
    <mergeCell ref="L15:N15"/>
    <mergeCell ref="F16:H16"/>
    <mergeCell ref="L16:N16"/>
    <mergeCell ref="F17:H17"/>
    <mergeCell ref="L17:N17"/>
    <mergeCell ref="F13:H13"/>
    <mergeCell ref="L13:N13"/>
    <mergeCell ref="F14:H14"/>
    <mergeCell ref="L14:N14"/>
    <mergeCell ref="F6:H7"/>
    <mergeCell ref="F10:H10"/>
    <mergeCell ref="F11:H11"/>
    <mergeCell ref="F12:H12"/>
    <mergeCell ref="L10:N10"/>
    <mergeCell ref="L11:N11"/>
    <mergeCell ref="R6:R7"/>
    <mergeCell ref="S6:S7"/>
    <mergeCell ref="F8:H8"/>
    <mergeCell ref="L8:N8"/>
    <mergeCell ref="F9:H9"/>
    <mergeCell ref="L9:N9"/>
    <mergeCell ref="I6:I7"/>
    <mergeCell ref="J6:J7"/>
    <mergeCell ref="K6:K7"/>
    <mergeCell ref="L6:N7"/>
    <mergeCell ref="O6:P6"/>
    <mergeCell ref="Q6:Q7"/>
    <mergeCell ref="A3:E5"/>
    <mergeCell ref="A6:A7"/>
    <mergeCell ref="B6:B7"/>
    <mergeCell ref="C6:C7"/>
    <mergeCell ref="D6:E6"/>
    <mergeCell ref="L12:N12"/>
    <mergeCell ref="I42:L42"/>
    <mergeCell ref="I43:L43"/>
    <mergeCell ref="N36:P36"/>
    <mergeCell ref="N38:P38"/>
    <mergeCell ref="I41:L41"/>
    <mergeCell ref="I40:M40"/>
    <mergeCell ref="I52:L52"/>
    <mergeCell ref="I53:L53"/>
    <mergeCell ref="I54:L54"/>
    <mergeCell ref="I61:L61"/>
    <mergeCell ref="I62:L62"/>
    <mergeCell ref="L22:N22"/>
    <mergeCell ref="L23:N23"/>
    <mergeCell ref="L24:N24"/>
  </mergeCells>
  <pageMargins left="0.5" right="0.5" top="0.5" bottom="0.5" header="0.5" footer="0.5"/>
  <pageSetup fitToHeight="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ToggleSelectedStyle">
                <anchor moveWithCells="1" sizeWithCells="1">
                  <from>
                    <xdr:col>19</xdr:col>
                    <xdr:colOff>152400</xdr:colOff>
                    <xdr:row>1</xdr:row>
                    <xdr:rowOff>28575</xdr:rowOff>
                  </from>
                  <to>
                    <xdr:col>22</xdr:col>
                    <xdr:colOff>257175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ApplyBordersToSelection">
                <anchor moveWithCells="1" sizeWithCells="1">
                  <from>
                    <xdr:col>19</xdr:col>
                    <xdr:colOff>142875</xdr:colOff>
                    <xdr:row>5</xdr:row>
                    <xdr:rowOff>238125</xdr:rowOff>
                  </from>
                  <to>
                    <xdr:col>22</xdr:col>
                    <xdr:colOff>238125</xdr:colOff>
                    <xdr:row>7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E1CD-F387-4C8C-A9F6-FBB472B5F5EA}">
  <sheetPr codeName="Sheet4">
    <tabColor rgb="FF00B050"/>
  </sheetPr>
  <dimension ref="A1:I40"/>
  <sheetViews>
    <sheetView workbookViewId="0">
      <selection activeCell="A6" sqref="A6:A7"/>
    </sheetView>
  </sheetViews>
  <sheetFormatPr defaultColWidth="9.28515625" defaultRowHeight="12.75" x14ac:dyDescent="0.2"/>
  <cols>
    <col min="1" max="16384" width="9.28515625" style="118"/>
  </cols>
  <sheetData>
    <row r="1" spans="1:9" ht="18.75" thickBot="1" x14ac:dyDescent="0.3">
      <c r="A1" s="532" t="s">
        <v>56</v>
      </c>
      <c r="B1" s="533"/>
      <c r="C1" s="533"/>
      <c r="D1" s="533"/>
      <c r="E1" s="533"/>
      <c r="F1" s="533"/>
      <c r="G1" s="533"/>
      <c r="H1" s="533"/>
      <c r="I1" s="534"/>
    </row>
    <row r="2" spans="1:9" x14ac:dyDescent="0.2">
      <c r="A2" s="529" t="s">
        <v>50</v>
      </c>
      <c r="B2" s="530"/>
      <c r="C2" s="530"/>
      <c r="D2" s="530"/>
      <c r="E2" s="530"/>
      <c r="F2" s="530"/>
      <c r="G2" s="530"/>
      <c r="H2" s="530"/>
      <c r="I2" s="531"/>
    </row>
    <row r="3" spans="1:9" x14ac:dyDescent="0.2">
      <c r="A3" s="120"/>
      <c r="B3" s="524" t="s">
        <v>51</v>
      </c>
      <c r="C3" s="524"/>
      <c r="D3" s="524"/>
      <c r="E3" s="524"/>
      <c r="F3" s="524"/>
      <c r="G3" s="524"/>
      <c r="H3" s="524"/>
      <c r="I3" s="525"/>
    </row>
    <row r="4" spans="1:9" x14ac:dyDescent="0.2">
      <c r="A4" s="121"/>
      <c r="B4" s="522" t="s">
        <v>57</v>
      </c>
      <c r="C4" s="522"/>
      <c r="D4" s="522"/>
      <c r="E4" s="522"/>
      <c r="F4" s="522"/>
      <c r="G4" s="522"/>
      <c r="H4" s="522"/>
      <c r="I4" s="523"/>
    </row>
    <row r="5" spans="1:9" x14ac:dyDescent="0.2">
      <c r="A5" s="121"/>
      <c r="B5" s="522" t="s">
        <v>55</v>
      </c>
      <c r="C5" s="522"/>
      <c r="D5" s="522"/>
      <c r="E5" s="522"/>
      <c r="F5" s="522"/>
      <c r="G5" s="522"/>
      <c r="H5" s="522"/>
      <c r="I5" s="523"/>
    </row>
    <row r="6" spans="1:9" x14ac:dyDescent="0.2">
      <c r="A6" s="526" t="s">
        <v>52</v>
      </c>
      <c r="B6" s="527"/>
      <c r="C6" s="527"/>
      <c r="D6" s="527"/>
      <c r="E6" s="527"/>
      <c r="F6" s="527"/>
      <c r="G6" s="527"/>
      <c r="H6" s="527"/>
      <c r="I6" s="528"/>
    </row>
    <row r="7" spans="1:9" x14ac:dyDescent="0.2">
      <c r="A7" s="122" t="s">
        <v>45</v>
      </c>
      <c r="B7" s="527" t="s">
        <v>53</v>
      </c>
      <c r="C7" s="527"/>
      <c r="D7" s="527"/>
      <c r="E7" s="527"/>
      <c r="F7" s="527"/>
      <c r="G7" s="527"/>
      <c r="H7" s="527"/>
      <c r="I7" s="528"/>
    </row>
    <row r="8" spans="1:9" x14ac:dyDescent="0.2">
      <c r="A8" s="122" t="s">
        <v>58</v>
      </c>
      <c r="B8" s="527" t="s">
        <v>59</v>
      </c>
      <c r="C8" s="527"/>
      <c r="D8" s="527"/>
      <c r="E8" s="527"/>
      <c r="F8" s="527"/>
      <c r="G8" s="527"/>
      <c r="H8" s="527"/>
      <c r="I8" s="528"/>
    </row>
    <row r="9" spans="1:9" x14ac:dyDescent="0.2">
      <c r="A9" s="122" t="s">
        <v>43</v>
      </c>
      <c r="B9" s="527" t="s">
        <v>54</v>
      </c>
      <c r="C9" s="527"/>
      <c r="D9" s="527"/>
      <c r="E9" s="527"/>
      <c r="F9" s="527"/>
      <c r="G9" s="527"/>
      <c r="H9" s="527"/>
      <c r="I9" s="528"/>
    </row>
    <row r="10" spans="1:9" x14ac:dyDescent="0.2">
      <c r="A10" s="122"/>
      <c r="B10" s="527"/>
      <c r="C10" s="527"/>
      <c r="D10" s="527"/>
      <c r="E10" s="527"/>
      <c r="F10" s="527"/>
      <c r="G10" s="527"/>
      <c r="H10" s="527"/>
      <c r="I10" s="528"/>
    </row>
    <row r="11" spans="1:9" ht="13.5" thickBot="1" x14ac:dyDescent="0.25">
      <c r="A11" s="123"/>
      <c r="B11" s="520"/>
      <c r="C11" s="520"/>
      <c r="D11" s="520"/>
      <c r="E11" s="520"/>
      <c r="F11" s="520"/>
      <c r="G11" s="520"/>
      <c r="H11" s="520"/>
      <c r="I11" s="521"/>
    </row>
    <row r="12" spans="1:9" x14ac:dyDescent="0.2">
      <c r="A12" s="119"/>
    </row>
    <row r="13" spans="1:9" x14ac:dyDescent="0.2">
      <c r="A13" s="119"/>
    </row>
    <row r="14" spans="1:9" x14ac:dyDescent="0.2">
      <c r="A14" s="119"/>
    </row>
    <row r="15" spans="1:9" x14ac:dyDescent="0.2">
      <c r="A15" s="119"/>
    </row>
    <row r="16" spans="1:9" x14ac:dyDescent="0.2">
      <c r="A16" s="119"/>
    </row>
    <row r="17" spans="1:1" x14ac:dyDescent="0.2">
      <c r="A17" s="119"/>
    </row>
    <row r="18" spans="1:1" x14ac:dyDescent="0.2">
      <c r="A18" s="119"/>
    </row>
    <row r="19" spans="1:1" x14ac:dyDescent="0.2">
      <c r="A19" s="119"/>
    </row>
    <row r="20" spans="1:1" x14ac:dyDescent="0.2">
      <c r="A20" s="119"/>
    </row>
    <row r="21" spans="1:1" x14ac:dyDescent="0.2">
      <c r="A21" s="119"/>
    </row>
    <row r="22" spans="1:1" x14ac:dyDescent="0.2">
      <c r="A22" s="119"/>
    </row>
    <row r="23" spans="1:1" x14ac:dyDescent="0.2">
      <c r="A23" s="119"/>
    </row>
    <row r="24" spans="1:1" x14ac:dyDescent="0.2">
      <c r="A24" s="119"/>
    </row>
    <row r="25" spans="1:1" x14ac:dyDescent="0.2">
      <c r="A25" s="119"/>
    </row>
    <row r="26" spans="1:1" x14ac:dyDescent="0.2">
      <c r="A26" s="119"/>
    </row>
    <row r="27" spans="1:1" x14ac:dyDescent="0.2">
      <c r="A27" s="119"/>
    </row>
    <row r="28" spans="1:1" x14ac:dyDescent="0.2">
      <c r="A28" s="119"/>
    </row>
    <row r="29" spans="1:1" x14ac:dyDescent="0.2">
      <c r="A29" s="119"/>
    </row>
    <row r="30" spans="1:1" x14ac:dyDescent="0.2">
      <c r="A30" s="119"/>
    </row>
    <row r="31" spans="1:1" x14ac:dyDescent="0.2">
      <c r="A31" s="119"/>
    </row>
    <row r="32" spans="1:1" x14ac:dyDescent="0.2">
      <c r="A32" s="119"/>
    </row>
    <row r="33" spans="1:1" x14ac:dyDescent="0.2">
      <c r="A33" s="119"/>
    </row>
    <row r="34" spans="1:1" x14ac:dyDescent="0.2">
      <c r="A34" s="119"/>
    </row>
    <row r="35" spans="1:1" x14ac:dyDescent="0.2">
      <c r="A35" s="119"/>
    </row>
    <row r="36" spans="1:1" x14ac:dyDescent="0.2">
      <c r="A36" s="119"/>
    </row>
    <row r="37" spans="1:1" x14ac:dyDescent="0.2">
      <c r="A37" s="119"/>
    </row>
    <row r="38" spans="1:1" x14ac:dyDescent="0.2">
      <c r="A38" s="119"/>
    </row>
    <row r="39" spans="1:1" x14ac:dyDescent="0.2">
      <c r="A39" s="119"/>
    </row>
    <row r="40" spans="1:1" x14ac:dyDescent="0.2">
      <c r="A40" s="119"/>
    </row>
  </sheetData>
  <mergeCells count="11">
    <mergeCell ref="A1:I1"/>
    <mergeCell ref="B7:I7"/>
    <mergeCell ref="B9:I9"/>
    <mergeCell ref="B10:I10"/>
    <mergeCell ref="B11:I11"/>
    <mergeCell ref="B5:I5"/>
    <mergeCell ref="B4:I4"/>
    <mergeCell ref="B3:I3"/>
    <mergeCell ref="A6:I6"/>
    <mergeCell ref="A2:I2"/>
    <mergeCell ref="B8:I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F74D-D70E-4202-9021-62D30D7DEB31}">
  <sheetPr codeName="Sheet5">
    <pageSetUpPr fitToPage="1"/>
  </sheetPr>
  <dimension ref="A1:X46"/>
  <sheetViews>
    <sheetView showGridLines="0" zoomScaleNormal="100" workbookViewId="0">
      <selection activeCell="A6" sqref="A6:A7"/>
    </sheetView>
  </sheetViews>
  <sheetFormatPr defaultColWidth="9.28515625" defaultRowHeight="14.1" customHeight="1" x14ac:dyDescent="0.25"/>
  <cols>
    <col min="1" max="1" width="4" style="1" customWidth="1"/>
    <col min="2" max="5" width="4" style="2" customWidth="1"/>
    <col min="6" max="6" width="17.28515625" style="2" customWidth="1"/>
    <col min="7" max="7" width="18.7109375" style="2" customWidth="1"/>
    <col min="8" max="8" width="1.7109375" style="1" customWidth="1"/>
    <col min="9" max="9" width="6.7109375" style="1" customWidth="1"/>
    <col min="10" max="10" width="4" style="2" customWidth="1"/>
    <col min="11" max="11" width="6.7109375" style="2" customWidth="1"/>
    <col min="12" max="12" width="3.5703125" style="2" customWidth="1"/>
    <col min="13" max="13" width="9.5703125" style="2" customWidth="1"/>
    <col min="14" max="14" width="25.7109375" style="2" customWidth="1"/>
    <col min="15" max="15" width="4" style="1" customWidth="1"/>
    <col min="16" max="19" width="4" style="2" customWidth="1"/>
    <col min="20" max="20" width="3.28515625" style="2" customWidth="1"/>
    <col min="21" max="21" width="0" style="1" hidden="1" customWidth="1"/>
    <col min="22" max="23" width="9.28515625" style="1"/>
    <col min="24" max="24" width="8.5703125" style="1" customWidth="1"/>
    <col min="25" max="16384" width="9.28515625" style="1"/>
  </cols>
  <sheetData>
    <row r="1" spans="1:24" ht="14.1" customHeight="1" thickBot="1" x14ac:dyDescent="0.3"/>
    <row r="2" spans="1:24" ht="14.1" customHeight="1" x14ac:dyDescent="0.25">
      <c r="A2" s="228"/>
      <c r="B2" s="229"/>
      <c r="C2" s="229"/>
      <c r="D2" s="229"/>
      <c r="E2" s="229"/>
      <c r="F2" s="230" t="s">
        <v>0</v>
      </c>
      <c r="G2" s="231" t="s">
        <v>48</v>
      </c>
      <c r="H2" s="208"/>
      <c r="I2" s="230" t="s">
        <v>1</v>
      </c>
      <c r="J2" s="230"/>
      <c r="K2" s="231">
        <v>4</v>
      </c>
      <c r="L2" s="207"/>
      <c r="M2" s="230" t="s">
        <v>2</v>
      </c>
      <c r="N2" s="231" t="s">
        <v>46</v>
      </c>
      <c r="O2" s="207"/>
      <c r="P2" s="232" t="s">
        <v>3</v>
      </c>
      <c r="Q2" s="232"/>
      <c r="R2" s="232"/>
      <c r="S2" s="233"/>
    </row>
    <row r="3" spans="1:24" ht="16.149999999999999" customHeight="1" x14ac:dyDescent="0.25">
      <c r="A3" s="344" t="s">
        <v>111</v>
      </c>
      <c r="B3" s="345"/>
      <c r="C3" s="345"/>
      <c r="D3" s="345"/>
      <c r="E3" s="345"/>
      <c r="F3" s="234" t="s">
        <v>4</v>
      </c>
      <c r="G3" s="235" t="s">
        <v>94</v>
      </c>
      <c r="H3" s="192"/>
      <c r="I3" s="234" t="s">
        <v>5</v>
      </c>
      <c r="J3" s="234"/>
      <c r="K3" s="204">
        <v>3</v>
      </c>
      <c r="L3" s="192"/>
      <c r="M3" s="234" t="s">
        <v>6</v>
      </c>
      <c r="N3" s="236">
        <v>22000</v>
      </c>
      <c r="O3" s="192"/>
      <c r="P3" s="220"/>
      <c r="Q3" s="235"/>
      <c r="R3" s="235"/>
      <c r="S3" s="237"/>
      <c r="U3" s="16"/>
      <c r="V3" s="16"/>
      <c r="W3" s="16"/>
      <c r="X3" s="16"/>
    </row>
    <row r="4" spans="1:24" ht="14.1" customHeight="1" x14ac:dyDescent="0.25">
      <c r="A4" s="344"/>
      <c r="B4" s="345"/>
      <c r="C4" s="345"/>
      <c r="D4" s="345"/>
      <c r="E4" s="345"/>
      <c r="F4" s="234" t="s">
        <v>7</v>
      </c>
      <c r="G4" s="238" t="s">
        <v>95</v>
      </c>
      <c r="H4" s="192"/>
      <c r="I4" s="234" t="s">
        <v>8</v>
      </c>
      <c r="J4" s="234"/>
      <c r="K4" s="204" t="s">
        <v>73</v>
      </c>
      <c r="L4" s="192"/>
      <c r="M4" s="234" t="s">
        <v>9</v>
      </c>
      <c r="N4" s="238" t="s">
        <v>96</v>
      </c>
      <c r="O4" s="192"/>
      <c r="P4" s="213"/>
      <c r="Q4" s="204"/>
      <c r="R4" s="204"/>
      <c r="S4" s="215"/>
      <c r="U4" s="16"/>
      <c r="V4" s="16"/>
      <c r="W4" s="16"/>
      <c r="X4" s="16"/>
    </row>
    <row r="5" spans="1:24" ht="6" customHeight="1" thickBot="1" x14ac:dyDescent="0.3">
      <c r="A5" s="346"/>
      <c r="B5" s="347"/>
      <c r="C5" s="347"/>
      <c r="D5" s="347"/>
      <c r="E5" s="347"/>
      <c r="F5" s="239"/>
      <c r="G5" s="240"/>
      <c r="H5" s="240"/>
      <c r="I5" s="239"/>
      <c r="J5" s="239"/>
      <c r="K5" s="239"/>
      <c r="L5" s="239"/>
      <c r="M5" s="239"/>
      <c r="N5" s="240"/>
      <c r="O5" s="239"/>
      <c r="P5" s="239"/>
      <c r="Q5" s="239"/>
      <c r="R5" s="239"/>
      <c r="S5" s="241"/>
      <c r="U5" s="16"/>
      <c r="V5" s="16"/>
      <c r="W5" s="16"/>
      <c r="X5" s="16"/>
    </row>
    <row r="6" spans="1:24" s="270" customFormat="1" ht="31.15" customHeight="1" x14ac:dyDescent="0.2">
      <c r="A6" s="348" t="s">
        <v>39</v>
      </c>
      <c r="B6" s="342" t="s">
        <v>10</v>
      </c>
      <c r="C6" s="342" t="s">
        <v>11</v>
      </c>
      <c r="D6" s="350" t="s">
        <v>12</v>
      </c>
      <c r="E6" s="351"/>
      <c r="F6" s="352" t="s">
        <v>38</v>
      </c>
      <c r="G6" s="353"/>
      <c r="H6" s="354"/>
      <c r="I6" s="373" t="s">
        <v>14</v>
      </c>
      <c r="J6" s="342" t="s">
        <v>15</v>
      </c>
      <c r="K6" s="373" t="s">
        <v>14</v>
      </c>
      <c r="L6" s="352" t="s">
        <v>13</v>
      </c>
      <c r="M6" s="353"/>
      <c r="N6" s="354"/>
      <c r="O6" s="375" t="s">
        <v>12</v>
      </c>
      <c r="P6" s="375"/>
      <c r="Q6" s="342" t="s">
        <v>11</v>
      </c>
      <c r="R6" s="342" t="s">
        <v>10</v>
      </c>
      <c r="S6" s="361" t="s">
        <v>39</v>
      </c>
      <c r="U6" s="271"/>
      <c r="V6" s="271"/>
      <c r="W6" s="271"/>
      <c r="X6" s="271"/>
    </row>
    <row r="7" spans="1:24" s="270" customFormat="1" ht="13.9" customHeight="1" thickBot="1" x14ac:dyDescent="0.25">
      <c r="A7" s="349"/>
      <c r="B7" s="343"/>
      <c r="C7" s="343"/>
      <c r="D7" s="269" t="s">
        <v>16</v>
      </c>
      <c r="E7" s="276" t="s">
        <v>17</v>
      </c>
      <c r="F7" s="355"/>
      <c r="G7" s="356"/>
      <c r="H7" s="357"/>
      <c r="I7" s="374"/>
      <c r="J7" s="343"/>
      <c r="K7" s="374"/>
      <c r="L7" s="355"/>
      <c r="M7" s="356"/>
      <c r="N7" s="357"/>
      <c r="O7" s="276" t="s">
        <v>16</v>
      </c>
      <c r="P7" s="276" t="s">
        <v>17</v>
      </c>
      <c r="Q7" s="343"/>
      <c r="R7" s="343"/>
      <c r="S7" s="362"/>
      <c r="U7" s="271"/>
      <c r="V7" s="271"/>
      <c r="W7" s="271"/>
      <c r="X7" s="271"/>
    </row>
    <row r="8" spans="1:24" ht="13.15" customHeight="1" x14ac:dyDescent="0.25">
      <c r="A8" s="175">
        <v>1</v>
      </c>
      <c r="B8" s="181"/>
      <c r="C8" s="246" t="s">
        <v>81</v>
      </c>
      <c r="D8" s="435">
        <v>3</v>
      </c>
      <c r="E8" s="435">
        <v>50</v>
      </c>
      <c r="F8" s="535" t="s">
        <v>98</v>
      </c>
      <c r="G8" s="536"/>
      <c r="H8" s="537"/>
      <c r="I8" s="278">
        <f>39*0.36/3</f>
        <v>4.68</v>
      </c>
      <c r="J8" s="203" t="s">
        <v>18</v>
      </c>
      <c r="K8" s="261">
        <v>1.2</v>
      </c>
      <c r="L8" s="544" t="s">
        <v>97</v>
      </c>
      <c r="M8" s="545"/>
      <c r="N8" s="546"/>
      <c r="O8" s="257">
        <v>1</v>
      </c>
      <c r="P8" s="257">
        <v>20</v>
      </c>
      <c r="Q8" s="248" t="s">
        <v>19</v>
      </c>
      <c r="R8" s="176"/>
      <c r="S8" s="185">
        <v>2</v>
      </c>
      <c r="U8" s="16"/>
      <c r="V8" s="16"/>
      <c r="W8" s="16"/>
      <c r="X8" s="16"/>
    </row>
    <row r="9" spans="1:24" ht="13.15" customHeight="1" x14ac:dyDescent="0.25">
      <c r="A9" s="177">
        <v>3</v>
      </c>
      <c r="B9" s="181"/>
      <c r="C9" s="246" t="s">
        <v>81</v>
      </c>
      <c r="D9" s="436"/>
      <c r="E9" s="436"/>
      <c r="F9" s="538"/>
      <c r="G9" s="539"/>
      <c r="H9" s="540"/>
      <c r="I9" s="279">
        <f>I8</f>
        <v>4.68</v>
      </c>
      <c r="J9" s="187" t="s">
        <v>20</v>
      </c>
      <c r="K9" s="262">
        <v>1.2</v>
      </c>
      <c r="L9" s="544" t="s">
        <v>97</v>
      </c>
      <c r="M9" s="545"/>
      <c r="N9" s="546"/>
      <c r="O9" s="257">
        <v>1</v>
      </c>
      <c r="P9" s="257">
        <v>20</v>
      </c>
      <c r="Q9" s="248" t="s">
        <v>19</v>
      </c>
      <c r="R9" s="178"/>
      <c r="S9" s="186">
        <v>4</v>
      </c>
      <c r="U9" s="51">
        <f>SUMIF($C$8:$C$28,"=M",$I$8:$I$28)+SUMIF($Q$8:$Q$28,"=M",$K$8:$K$28)</f>
        <v>14.04</v>
      </c>
      <c r="V9" s="16"/>
      <c r="W9" s="16"/>
      <c r="X9" s="16"/>
    </row>
    <row r="10" spans="1:24" ht="13.15" customHeight="1" x14ac:dyDescent="0.25">
      <c r="A10" s="177">
        <v>5</v>
      </c>
      <c r="B10" s="181"/>
      <c r="C10" s="246" t="s">
        <v>81</v>
      </c>
      <c r="D10" s="437"/>
      <c r="E10" s="437"/>
      <c r="F10" s="541"/>
      <c r="G10" s="542"/>
      <c r="H10" s="543"/>
      <c r="I10" s="278">
        <f>I9</f>
        <v>4.68</v>
      </c>
      <c r="J10" s="187" t="s">
        <v>19</v>
      </c>
      <c r="K10" s="262">
        <f>(15*17+46+3*34.4+27+78*2+12.4*8)/800</f>
        <v>0.8580000000000001</v>
      </c>
      <c r="L10" s="544" t="s">
        <v>126</v>
      </c>
      <c r="M10" s="545"/>
      <c r="N10" s="546"/>
      <c r="O10" s="257">
        <v>1</v>
      </c>
      <c r="P10" s="257">
        <v>20</v>
      </c>
      <c r="Q10" s="248" t="s">
        <v>19</v>
      </c>
      <c r="R10" s="178"/>
      <c r="S10" s="186">
        <v>6</v>
      </c>
      <c r="T10" s="192"/>
      <c r="U10" s="51">
        <f>SUMIF($C$8:$C$28,"=ML",$I$8:$I$28)+SUMIF($Q$8:$Q$28,"=ML",$K$8:$K$28)</f>
        <v>14.04</v>
      </c>
      <c r="V10" s="16"/>
      <c r="W10" s="16"/>
      <c r="X10" s="16"/>
    </row>
    <row r="11" spans="1:24" ht="13.15" customHeight="1" x14ac:dyDescent="0.25">
      <c r="A11" s="177">
        <v>7</v>
      </c>
      <c r="B11" s="181"/>
      <c r="C11" s="246" t="s">
        <v>65</v>
      </c>
      <c r="D11" s="280">
        <v>1</v>
      </c>
      <c r="E11" s="280">
        <v>20</v>
      </c>
      <c r="F11" s="547" t="s">
        <v>78</v>
      </c>
      <c r="G11" s="548"/>
      <c r="H11" s="549"/>
      <c r="I11" s="265">
        <f>4.4*0.12</f>
        <v>0.52800000000000002</v>
      </c>
      <c r="J11" s="187" t="s">
        <v>18</v>
      </c>
      <c r="K11" s="262">
        <f>(78*3+12.4*7+34.4*9+27+30*2)/800</f>
        <v>0.89674999999999994</v>
      </c>
      <c r="L11" s="550" t="s">
        <v>125</v>
      </c>
      <c r="M11" s="551"/>
      <c r="N11" s="552"/>
      <c r="O11" s="263">
        <v>1</v>
      </c>
      <c r="P11" s="249">
        <v>20</v>
      </c>
      <c r="Q11" s="246" t="s">
        <v>19</v>
      </c>
      <c r="R11" s="249"/>
      <c r="S11" s="186">
        <v>8</v>
      </c>
      <c r="T11" s="192"/>
      <c r="U11" s="16">
        <f>SUMIF($C$8:$C$28,"=K",$I$8:$I$28)+SUMIF($Q$8:$Q$28,"=K",$K$8:$K$28)</f>
        <v>0</v>
      </c>
      <c r="V11" s="16"/>
      <c r="W11" s="16"/>
      <c r="X11" s="16"/>
    </row>
    <row r="12" spans="1:24" ht="13.15" customHeight="1" x14ac:dyDescent="0.25">
      <c r="A12" s="177">
        <v>9</v>
      </c>
      <c r="B12" s="181"/>
      <c r="C12" s="246" t="s">
        <v>65</v>
      </c>
      <c r="D12" s="280">
        <v>1</v>
      </c>
      <c r="E12" s="280">
        <v>20</v>
      </c>
      <c r="F12" s="547" t="s">
        <v>79</v>
      </c>
      <c r="G12" s="548"/>
      <c r="H12" s="549"/>
      <c r="I12" s="265">
        <f>3*0.12</f>
        <v>0.36</v>
      </c>
      <c r="J12" s="187" t="s">
        <v>20</v>
      </c>
      <c r="K12" s="262">
        <f>(3.1*104+34.4*8+2*30)/800</f>
        <v>0.82200000000000006</v>
      </c>
      <c r="L12" s="550" t="s">
        <v>115</v>
      </c>
      <c r="M12" s="551"/>
      <c r="N12" s="552"/>
      <c r="O12" s="264">
        <v>1</v>
      </c>
      <c r="P12" s="249">
        <v>20</v>
      </c>
      <c r="Q12" s="248" t="s">
        <v>19</v>
      </c>
      <c r="R12" s="249"/>
      <c r="S12" s="186">
        <v>10</v>
      </c>
      <c r="T12" s="192"/>
      <c r="U12" s="16">
        <f>SUMIF($C$8:$C$28,"=KL",$I$8:$I$28)+SUMIF($Q$8:$Q$28,"=KL",$K$8:$K$28)</f>
        <v>0</v>
      </c>
      <c r="V12" s="16"/>
      <c r="W12" s="16"/>
      <c r="X12" s="16"/>
    </row>
    <row r="13" spans="1:24" ht="13.15" customHeight="1" x14ac:dyDescent="0.25">
      <c r="A13" s="177">
        <v>11</v>
      </c>
      <c r="B13" s="181"/>
      <c r="C13" s="246" t="s">
        <v>65</v>
      </c>
      <c r="D13" s="280">
        <v>1</v>
      </c>
      <c r="E13" s="280">
        <v>20</v>
      </c>
      <c r="F13" s="550" t="s">
        <v>100</v>
      </c>
      <c r="G13" s="551"/>
      <c r="H13" s="552"/>
      <c r="I13" s="266">
        <f>3*0.12</f>
        <v>0.36</v>
      </c>
      <c r="J13" s="187" t="s">
        <v>19</v>
      </c>
      <c r="K13" s="262">
        <v>0.36</v>
      </c>
      <c r="L13" s="550" t="s">
        <v>112</v>
      </c>
      <c r="M13" s="551"/>
      <c r="N13" s="552"/>
      <c r="O13" s="264">
        <v>1</v>
      </c>
      <c r="P13" s="249">
        <v>20</v>
      </c>
      <c r="Q13" s="248" t="s">
        <v>19</v>
      </c>
      <c r="R13" s="178"/>
      <c r="S13" s="186">
        <v>12</v>
      </c>
      <c r="T13" s="192"/>
      <c r="U13" s="16">
        <f>IF(N34=90%,0.9,1)</f>
        <v>1</v>
      </c>
      <c r="V13" s="16"/>
      <c r="W13" s="16"/>
      <c r="X13" s="16"/>
    </row>
    <row r="14" spans="1:24" ht="13.15" customHeight="1" x14ac:dyDescent="0.25">
      <c r="A14" s="179">
        <v>13</v>
      </c>
      <c r="B14" s="176"/>
      <c r="C14" s="248" t="s">
        <v>65</v>
      </c>
      <c r="D14" s="249">
        <v>1</v>
      </c>
      <c r="E14" s="249">
        <v>20</v>
      </c>
      <c r="F14" s="547" t="s">
        <v>113</v>
      </c>
      <c r="G14" s="548"/>
      <c r="H14" s="549"/>
      <c r="I14" s="265">
        <v>0.72</v>
      </c>
      <c r="J14" s="187" t="s">
        <v>18</v>
      </c>
      <c r="K14" s="262">
        <f>8*0.18</f>
        <v>1.44</v>
      </c>
      <c r="L14" s="550" t="s">
        <v>118</v>
      </c>
      <c r="M14" s="551"/>
      <c r="N14" s="552"/>
      <c r="O14" s="249">
        <v>1</v>
      </c>
      <c r="P14" s="249">
        <v>20</v>
      </c>
      <c r="Q14" s="246" t="s">
        <v>65</v>
      </c>
      <c r="R14" s="178"/>
      <c r="S14" s="186">
        <v>14</v>
      </c>
      <c r="T14" s="192"/>
      <c r="U14" s="16">
        <f>IF(N34=80%,0.8,1)</f>
        <v>1</v>
      </c>
      <c r="V14" s="16"/>
      <c r="W14" s="16"/>
      <c r="X14" s="16"/>
    </row>
    <row r="15" spans="1:24" ht="13.15" customHeight="1" x14ac:dyDescent="0.25">
      <c r="A15" s="180">
        <v>15</v>
      </c>
      <c r="B15" s="181"/>
      <c r="C15" s="248"/>
      <c r="D15" s="249"/>
      <c r="E15" s="249"/>
      <c r="F15" s="553" t="s">
        <v>66</v>
      </c>
      <c r="G15" s="554"/>
      <c r="H15" s="555"/>
      <c r="I15" s="265"/>
      <c r="J15" s="190" t="s">
        <v>20</v>
      </c>
      <c r="K15" s="262"/>
      <c r="L15" s="553" t="s">
        <v>66</v>
      </c>
      <c r="M15" s="554"/>
      <c r="N15" s="555"/>
      <c r="O15" s="249"/>
      <c r="P15" s="249"/>
      <c r="Q15" s="246"/>
      <c r="R15" s="178"/>
      <c r="S15" s="189">
        <v>16</v>
      </c>
      <c r="T15" s="192"/>
      <c r="U15" s="16">
        <f>IF(N34=70%,0.7,1)</f>
        <v>1</v>
      </c>
      <c r="V15" s="16"/>
      <c r="W15" s="16"/>
      <c r="X15" s="16"/>
    </row>
    <row r="16" spans="1:24" ht="13.15" customHeight="1" x14ac:dyDescent="0.25">
      <c r="A16" s="179">
        <v>17</v>
      </c>
      <c r="B16" s="181"/>
      <c r="C16" s="248" t="s">
        <v>65</v>
      </c>
      <c r="D16" s="249">
        <v>1</v>
      </c>
      <c r="E16" s="249">
        <v>20</v>
      </c>
      <c r="F16" s="547" t="s">
        <v>116</v>
      </c>
      <c r="G16" s="548"/>
      <c r="H16" s="549"/>
      <c r="I16" s="265">
        <v>0.54</v>
      </c>
      <c r="J16" s="187" t="s">
        <v>19</v>
      </c>
      <c r="K16" s="262">
        <f>4*0.18</f>
        <v>0.72</v>
      </c>
      <c r="L16" s="550" t="s">
        <v>119</v>
      </c>
      <c r="M16" s="551"/>
      <c r="N16" s="552"/>
      <c r="O16" s="249">
        <v>1</v>
      </c>
      <c r="P16" s="249">
        <v>20</v>
      </c>
      <c r="Q16" s="267" t="s">
        <v>65</v>
      </c>
      <c r="R16" s="178"/>
      <c r="S16" s="186">
        <v>18</v>
      </c>
      <c r="T16" s="192"/>
      <c r="U16" s="16">
        <f>IF(N34=65%,0.65,1)</f>
        <v>0.65</v>
      </c>
      <c r="V16" s="16"/>
      <c r="W16" s="16"/>
      <c r="X16" s="16"/>
    </row>
    <row r="17" spans="1:24" ht="13.15" customHeight="1" x14ac:dyDescent="0.25">
      <c r="A17" s="179">
        <v>19</v>
      </c>
      <c r="B17" s="181"/>
      <c r="C17" s="248"/>
      <c r="D17" s="249"/>
      <c r="E17" s="249"/>
      <c r="F17" s="553" t="s">
        <v>66</v>
      </c>
      <c r="G17" s="554"/>
      <c r="H17" s="555"/>
      <c r="I17" s="266"/>
      <c r="J17" s="187" t="s">
        <v>18</v>
      </c>
      <c r="K17" s="262">
        <f>8*0.18</f>
        <v>1.44</v>
      </c>
      <c r="L17" s="550" t="s">
        <v>120</v>
      </c>
      <c r="M17" s="551"/>
      <c r="N17" s="552"/>
      <c r="O17" s="249">
        <v>1</v>
      </c>
      <c r="P17" s="249">
        <v>20</v>
      </c>
      <c r="Q17" s="246" t="s">
        <v>65</v>
      </c>
      <c r="R17" s="178"/>
      <c r="S17" s="189">
        <v>20</v>
      </c>
      <c r="T17" s="192"/>
      <c r="U17" s="16"/>
      <c r="V17" s="16"/>
      <c r="W17" s="16"/>
      <c r="X17" s="16"/>
    </row>
    <row r="18" spans="1:24" ht="13.15" customHeight="1" x14ac:dyDescent="0.25">
      <c r="A18" s="179">
        <v>21</v>
      </c>
      <c r="B18" s="181"/>
      <c r="C18" s="248"/>
      <c r="D18" s="249"/>
      <c r="E18" s="249"/>
      <c r="F18" s="553" t="s">
        <v>66</v>
      </c>
      <c r="G18" s="554"/>
      <c r="H18" s="555"/>
      <c r="I18" s="266"/>
      <c r="J18" s="187" t="s">
        <v>20</v>
      </c>
      <c r="K18" s="262">
        <f>2*0.18</f>
        <v>0.36</v>
      </c>
      <c r="L18" s="550" t="s">
        <v>121</v>
      </c>
      <c r="M18" s="551"/>
      <c r="N18" s="552"/>
      <c r="O18" s="249">
        <v>1</v>
      </c>
      <c r="P18" s="249">
        <v>20</v>
      </c>
      <c r="Q18" s="267" t="s">
        <v>65</v>
      </c>
      <c r="R18" s="178"/>
      <c r="S18" s="186">
        <v>22</v>
      </c>
      <c r="T18" s="192"/>
      <c r="U18" s="16"/>
      <c r="V18" s="16"/>
      <c r="W18" s="16"/>
      <c r="X18" s="16"/>
    </row>
    <row r="19" spans="1:24" ht="13.15" customHeight="1" x14ac:dyDescent="0.25">
      <c r="A19" s="179">
        <v>23</v>
      </c>
      <c r="B19" s="181"/>
      <c r="C19" s="178"/>
      <c r="D19" s="178"/>
      <c r="E19" s="178"/>
      <c r="F19" s="553" t="s">
        <v>66</v>
      </c>
      <c r="G19" s="554"/>
      <c r="H19" s="555"/>
      <c r="I19" s="266"/>
      <c r="J19" s="190" t="s">
        <v>19</v>
      </c>
      <c r="K19" s="266">
        <v>0.36</v>
      </c>
      <c r="L19" s="550" t="s">
        <v>122</v>
      </c>
      <c r="M19" s="551"/>
      <c r="N19" s="552"/>
      <c r="O19" s="249">
        <v>1</v>
      </c>
      <c r="P19" s="249">
        <v>20</v>
      </c>
      <c r="Q19" s="246" t="s">
        <v>65</v>
      </c>
      <c r="R19" s="178"/>
      <c r="S19" s="186">
        <v>24</v>
      </c>
      <c r="T19" s="192"/>
      <c r="U19" s="16"/>
      <c r="V19" s="16"/>
      <c r="W19" s="16"/>
      <c r="X19" s="16"/>
    </row>
    <row r="20" spans="1:24" ht="13.15" customHeight="1" x14ac:dyDescent="0.25">
      <c r="A20" s="180">
        <v>25</v>
      </c>
      <c r="B20" s="176"/>
      <c r="C20" s="248" t="s">
        <v>65</v>
      </c>
      <c r="D20" s="249">
        <v>1</v>
      </c>
      <c r="E20" s="249">
        <v>20</v>
      </c>
      <c r="F20" s="550" t="s">
        <v>114</v>
      </c>
      <c r="G20" s="551"/>
      <c r="H20" s="552"/>
      <c r="I20" s="266">
        <v>0.54</v>
      </c>
      <c r="J20" s="187" t="s">
        <v>18</v>
      </c>
      <c r="K20" s="262">
        <f>4*0.18</f>
        <v>0.72</v>
      </c>
      <c r="L20" s="550" t="s">
        <v>117</v>
      </c>
      <c r="M20" s="551"/>
      <c r="N20" s="552"/>
      <c r="O20" s="249">
        <v>1</v>
      </c>
      <c r="P20" s="249">
        <v>20</v>
      </c>
      <c r="Q20" s="267" t="s">
        <v>65</v>
      </c>
      <c r="R20" s="178"/>
      <c r="S20" s="186">
        <v>26</v>
      </c>
      <c r="T20" s="192"/>
      <c r="U20" s="16"/>
      <c r="V20" s="16"/>
      <c r="W20" s="16"/>
      <c r="X20" s="16"/>
    </row>
    <row r="21" spans="1:24" ht="13.15" customHeight="1" x14ac:dyDescent="0.25">
      <c r="A21" s="179">
        <v>27</v>
      </c>
      <c r="B21" s="181"/>
      <c r="C21" s="184"/>
      <c r="D21" s="178"/>
      <c r="E21" s="178"/>
      <c r="F21" s="553" t="s">
        <v>66</v>
      </c>
      <c r="G21" s="554"/>
      <c r="H21" s="555"/>
      <c r="I21" s="266"/>
      <c r="J21" s="187" t="s">
        <v>20</v>
      </c>
      <c r="K21" s="202"/>
      <c r="L21" s="553" t="s">
        <v>66</v>
      </c>
      <c r="M21" s="554"/>
      <c r="N21" s="555"/>
      <c r="O21" s="178"/>
      <c r="P21" s="178"/>
      <c r="Q21" s="188"/>
      <c r="R21" s="178"/>
      <c r="S21" s="186">
        <v>28</v>
      </c>
      <c r="T21" s="192"/>
      <c r="U21" s="16"/>
      <c r="V21" s="16"/>
      <c r="W21" s="16"/>
      <c r="X21" s="16"/>
    </row>
    <row r="22" spans="1:24" ht="13.15" customHeight="1" x14ac:dyDescent="0.25">
      <c r="A22" s="182">
        <v>29</v>
      </c>
      <c r="B22" s="181"/>
      <c r="C22" s="248" t="s">
        <v>65</v>
      </c>
      <c r="D22" s="249">
        <v>1</v>
      </c>
      <c r="E22" s="249">
        <v>20</v>
      </c>
      <c r="F22" s="550" t="s">
        <v>80</v>
      </c>
      <c r="G22" s="551"/>
      <c r="H22" s="552"/>
      <c r="I22" s="266">
        <v>0.36</v>
      </c>
      <c r="J22" s="191" t="s">
        <v>19</v>
      </c>
      <c r="K22" s="262"/>
      <c r="L22" s="553" t="s">
        <v>66</v>
      </c>
      <c r="M22" s="554"/>
      <c r="N22" s="555"/>
      <c r="O22" s="249"/>
      <c r="P22" s="249"/>
      <c r="Q22" s="267"/>
      <c r="R22" s="178"/>
      <c r="S22" s="225">
        <v>30</v>
      </c>
      <c r="T22" s="192"/>
      <c r="U22" s="16"/>
      <c r="V22" s="16"/>
      <c r="W22" s="16"/>
      <c r="X22" s="16"/>
    </row>
    <row r="23" spans="1:24" ht="13.15" customHeight="1" x14ac:dyDescent="0.25">
      <c r="A23" s="179">
        <v>31</v>
      </c>
      <c r="B23" s="181"/>
      <c r="C23" s="246" t="s">
        <v>82</v>
      </c>
      <c r="D23" s="436">
        <v>3</v>
      </c>
      <c r="E23" s="436">
        <v>50</v>
      </c>
      <c r="F23" s="538" t="s">
        <v>99</v>
      </c>
      <c r="G23" s="539"/>
      <c r="H23" s="540"/>
      <c r="I23" s="278">
        <f>39*0.36/3</f>
        <v>4.68</v>
      </c>
      <c r="J23" s="187" t="s">
        <v>18</v>
      </c>
      <c r="K23" s="262">
        <f>4*0.18</f>
        <v>0.72</v>
      </c>
      <c r="L23" s="550" t="s">
        <v>123</v>
      </c>
      <c r="M23" s="551"/>
      <c r="N23" s="552"/>
      <c r="O23" s="249">
        <v>1</v>
      </c>
      <c r="P23" s="249">
        <v>20</v>
      </c>
      <c r="Q23" s="246" t="s">
        <v>65</v>
      </c>
      <c r="R23" s="178"/>
      <c r="S23" s="186">
        <v>32</v>
      </c>
      <c r="U23" s="16"/>
      <c r="V23" s="16"/>
      <c r="W23" s="16"/>
      <c r="X23" s="16"/>
    </row>
    <row r="24" spans="1:24" ht="13.15" customHeight="1" x14ac:dyDescent="0.25">
      <c r="A24" s="179">
        <v>33</v>
      </c>
      <c r="B24" s="181"/>
      <c r="C24" s="246" t="s">
        <v>82</v>
      </c>
      <c r="D24" s="436"/>
      <c r="E24" s="436"/>
      <c r="F24" s="538"/>
      <c r="G24" s="539"/>
      <c r="H24" s="540"/>
      <c r="I24" s="279">
        <f>I23</f>
        <v>4.68</v>
      </c>
      <c r="J24" s="187" t="s">
        <v>20</v>
      </c>
      <c r="K24" s="266">
        <v>0.54</v>
      </c>
      <c r="L24" s="550" t="s">
        <v>124</v>
      </c>
      <c r="M24" s="551"/>
      <c r="N24" s="552"/>
      <c r="O24" s="249">
        <v>1</v>
      </c>
      <c r="P24" s="249">
        <v>20</v>
      </c>
      <c r="Q24" s="246" t="s">
        <v>65</v>
      </c>
      <c r="R24" s="178"/>
      <c r="S24" s="186">
        <v>34</v>
      </c>
      <c r="U24" s="16"/>
      <c r="V24" s="16"/>
      <c r="W24" s="16"/>
      <c r="X24" s="16"/>
    </row>
    <row r="25" spans="1:24" ht="13.15" customHeight="1" x14ac:dyDescent="0.25">
      <c r="A25" s="179">
        <v>35</v>
      </c>
      <c r="B25" s="176"/>
      <c r="C25" s="246" t="s">
        <v>82</v>
      </c>
      <c r="D25" s="437"/>
      <c r="E25" s="437"/>
      <c r="F25" s="541"/>
      <c r="G25" s="542"/>
      <c r="H25" s="543"/>
      <c r="I25" s="278">
        <f>I24</f>
        <v>4.68</v>
      </c>
      <c r="J25" s="187" t="s">
        <v>19</v>
      </c>
      <c r="K25" s="195"/>
      <c r="L25" s="553" t="s">
        <v>66</v>
      </c>
      <c r="M25" s="554"/>
      <c r="N25" s="555"/>
      <c r="O25" s="178"/>
      <c r="P25" s="178"/>
      <c r="Q25" s="184"/>
      <c r="R25" s="178"/>
      <c r="S25" s="186">
        <v>36</v>
      </c>
      <c r="U25" s="16"/>
      <c r="V25" s="16"/>
      <c r="W25" s="16"/>
      <c r="X25" s="16"/>
    </row>
    <row r="26" spans="1:24" ht="13.15" customHeight="1" x14ac:dyDescent="0.25">
      <c r="A26" s="179">
        <v>37</v>
      </c>
      <c r="B26" s="176"/>
      <c r="C26" s="264" t="s">
        <v>65</v>
      </c>
      <c r="D26" s="249">
        <v>1</v>
      </c>
      <c r="E26" s="249">
        <v>20</v>
      </c>
      <c r="F26" s="544" t="s">
        <v>74</v>
      </c>
      <c r="G26" s="545"/>
      <c r="H26" s="546"/>
      <c r="I26" s="266">
        <v>0.18</v>
      </c>
      <c r="J26" s="187" t="s">
        <v>18</v>
      </c>
      <c r="K26" s="245" t="e">
        <f>#REF!</f>
        <v>#REF!</v>
      </c>
      <c r="L26" s="556" t="s">
        <v>83</v>
      </c>
      <c r="M26" s="557"/>
      <c r="N26" s="558"/>
      <c r="O26" s="562">
        <v>3</v>
      </c>
      <c r="P26" s="562">
        <v>100</v>
      </c>
      <c r="Q26" s="246" t="s">
        <v>40</v>
      </c>
      <c r="R26" s="197"/>
      <c r="S26" s="247">
        <v>38</v>
      </c>
      <c r="U26" s="16"/>
      <c r="V26" s="16"/>
      <c r="W26" s="16"/>
      <c r="X26" s="16"/>
    </row>
    <row r="27" spans="1:24" ht="13.15" customHeight="1" x14ac:dyDescent="0.25">
      <c r="A27" s="180">
        <v>39</v>
      </c>
      <c r="B27" s="181"/>
      <c r="C27" s="249" t="s">
        <v>40</v>
      </c>
      <c r="D27" s="562">
        <v>2</v>
      </c>
      <c r="E27" s="562">
        <v>60</v>
      </c>
      <c r="F27" s="564" t="s">
        <v>49</v>
      </c>
      <c r="G27" s="565"/>
      <c r="H27" s="566"/>
      <c r="I27" s="268">
        <f>9/0.8/2</f>
        <v>5.625</v>
      </c>
      <c r="J27" s="187" t="s">
        <v>20</v>
      </c>
      <c r="K27" s="245" t="e">
        <f>#REF!</f>
        <v>#REF!</v>
      </c>
      <c r="L27" s="538"/>
      <c r="M27" s="539"/>
      <c r="N27" s="540"/>
      <c r="O27" s="436"/>
      <c r="P27" s="436"/>
      <c r="Q27" s="248" t="s">
        <v>40</v>
      </c>
      <c r="R27" s="249"/>
      <c r="S27" s="250">
        <v>40</v>
      </c>
      <c r="U27" s="57"/>
      <c r="V27" s="57"/>
      <c r="W27" s="57"/>
      <c r="X27" s="57"/>
    </row>
    <row r="28" spans="1:24" ht="13.15" customHeight="1" thickBot="1" x14ac:dyDescent="0.3">
      <c r="A28" s="182">
        <v>41</v>
      </c>
      <c r="B28" s="181"/>
      <c r="C28" s="249" t="s">
        <v>40</v>
      </c>
      <c r="D28" s="437"/>
      <c r="E28" s="437"/>
      <c r="F28" s="432"/>
      <c r="G28" s="433"/>
      <c r="H28" s="434"/>
      <c r="I28" s="268">
        <f>I27</f>
        <v>5.625</v>
      </c>
      <c r="J28" s="191" t="s">
        <v>19</v>
      </c>
      <c r="K28" s="245" t="e">
        <f>#REF!</f>
        <v>#REF!</v>
      </c>
      <c r="L28" s="559"/>
      <c r="M28" s="560"/>
      <c r="N28" s="561"/>
      <c r="O28" s="563"/>
      <c r="P28" s="563"/>
      <c r="Q28" s="248" t="s">
        <v>40</v>
      </c>
      <c r="R28" s="251"/>
      <c r="S28" s="252">
        <v>42</v>
      </c>
      <c r="U28" s="57"/>
      <c r="V28" s="57"/>
      <c r="W28" s="57"/>
      <c r="X28" s="57"/>
    </row>
    <row r="29" spans="1:24" ht="12.6" customHeight="1" x14ac:dyDescent="0.25">
      <c r="A29" s="205" t="s">
        <v>21</v>
      </c>
      <c r="B29" s="206"/>
      <c r="C29" s="273"/>
      <c r="D29" s="231"/>
      <c r="E29" s="207"/>
      <c r="F29" s="207"/>
      <c r="G29" s="208"/>
      <c r="H29" s="209"/>
      <c r="I29" s="379" t="s">
        <v>22</v>
      </c>
      <c r="J29" s="380"/>
      <c r="K29" s="380"/>
      <c r="L29" s="380"/>
      <c r="M29" s="380"/>
      <c r="N29" s="380"/>
      <c r="O29" s="380"/>
      <c r="P29" s="380"/>
      <c r="Q29" s="380"/>
      <c r="R29" s="380"/>
      <c r="S29" s="381"/>
      <c r="U29" s="57"/>
      <c r="V29" s="57"/>
      <c r="W29" s="57"/>
      <c r="X29" s="57"/>
    </row>
    <row r="30" spans="1:24" ht="13.15" customHeight="1" x14ac:dyDescent="0.25">
      <c r="A30" s="275" t="s">
        <v>23</v>
      </c>
      <c r="B30" s="242"/>
      <c r="C30" s="274"/>
      <c r="D30" s="274"/>
      <c r="E30" s="274"/>
      <c r="F30" s="211" t="e">
        <f>SUMIF($J$8:$J$28,"=A",$I$8:$I$28)+SUMIF($J$8:$J$28,"=A",$K$8:$K$28)</f>
        <v>#REF!</v>
      </c>
      <c r="G30" s="244" t="s">
        <v>24</v>
      </c>
      <c r="H30" s="212"/>
      <c r="I30" s="382" t="s">
        <v>25</v>
      </c>
      <c r="J30" s="383"/>
      <c r="K30" s="383"/>
      <c r="L30" s="384"/>
      <c r="M30" s="214" t="s">
        <v>26</v>
      </c>
      <c r="N30" s="385" t="s">
        <v>27</v>
      </c>
      <c r="O30" s="386"/>
      <c r="P30" s="387"/>
      <c r="Q30" s="204"/>
      <c r="R30" s="204"/>
      <c r="S30" s="215"/>
      <c r="U30" s="57"/>
      <c r="V30" s="57"/>
      <c r="W30" s="57"/>
      <c r="X30" s="57"/>
    </row>
    <row r="31" spans="1:24" ht="13.15" customHeight="1" x14ac:dyDescent="0.25">
      <c r="A31" s="275" t="s">
        <v>28</v>
      </c>
      <c r="B31" s="242"/>
      <c r="C31" s="274"/>
      <c r="D31" s="274"/>
      <c r="E31" s="274"/>
      <c r="F31" s="216" t="e">
        <f>SUMIF($J$8:$J$28,"=B",$I$8:$I$28)+SUMIF($J$8:$J$28,"=B",$K$8:$K$28)</f>
        <v>#REF!</v>
      </c>
      <c r="G31" s="244" t="s">
        <v>24</v>
      </c>
      <c r="H31" s="212"/>
      <c r="I31" s="388" t="s">
        <v>29</v>
      </c>
      <c r="J31" s="389"/>
      <c r="K31" s="389"/>
      <c r="L31" s="390"/>
      <c r="M31" s="217">
        <f>SUMIF($C$8:$C$28,"=C",$I$8:$I$28)+SUMIF($Q$8:$Q$28,"=C",$K$8:$K$28)</f>
        <v>5.3367500000000003</v>
      </c>
      <c r="N31" s="391">
        <v>1.25</v>
      </c>
      <c r="O31" s="392"/>
      <c r="P31" s="393"/>
      <c r="Q31" s="394">
        <f>$M31*1.25</f>
        <v>6.6709375000000009</v>
      </c>
      <c r="R31" s="395"/>
      <c r="S31" s="396"/>
      <c r="U31" s="57"/>
      <c r="V31" s="57"/>
      <c r="W31" s="57"/>
      <c r="X31" s="57"/>
    </row>
    <row r="32" spans="1:24" ht="13.15" customHeight="1" x14ac:dyDescent="0.25">
      <c r="A32" s="275" t="s">
        <v>30</v>
      </c>
      <c r="B32" s="242"/>
      <c r="C32" s="274"/>
      <c r="D32" s="274"/>
      <c r="E32" s="274"/>
      <c r="F32" s="216" t="e">
        <f>SUMIF($J$8:$J$28,"=C",$I$8:$I$28)+SUMIF($J$8:$J$28,"=C",$K$8:$K$28)</f>
        <v>#REF!</v>
      </c>
      <c r="G32" s="244" t="s">
        <v>24</v>
      </c>
      <c r="H32" s="212"/>
      <c r="I32" s="397" t="s">
        <v>31</v>
      </c>
      <c r="J32" s="398"/>
      <c r="K32" s="398"/>
      <c r="L32" s="399"/>
      <c r="M32" s="218" t="e">
        <f>SUMIF($C$8:$C$28,"=D",$I$8:$I$28)+SUMIF($Q$8:$Q$28,"=D",$K$8:$K$28)</f>
        <v>#REF!</v>
      </c>
      <c r="N32" s="400">
        <v>1</v>
      </c>
      <c r="O32" s="401"/>
      <c r="P32" s="402"/>
      <c r="Q32" s="403" t="e">
        <f>$M32</f>
        <v>#REF!</v>
      </c>
      <c r="R32" s="404"/>
      <c r="S32" s="405"/>
      <c r="U32" s="57"/>
      <c r="V32" s="57"/>
      <c r="W32" s="57"/>
      <c r="X32" s="57"/>
    </row>
    <row r="33" spans="1:24" ht="13.15" customHeight="1" x14ac:dyDescent="0.25">
      <c r="A33" s="275" t="s">
        <v>32</v>
      </c>
      <c r="B33" s="242"/>
      <c r="C33" s="274"/>
      <c r="D33" s="274"/>
      <c r="E33" s="274"/>
      <c r="F33" s="216" t="e">
        <f>SUM(F30:F32)</f>
        <v>#REF!</v>
      </c>
      <c r="G33" s="244" t="s">
        <v>24</v>
      </c>
      <c r="H33" s="212"/>
      <c r="I33" s="397" t="s">
        <v>33</v>
      </c>
      <c r="J33" s="398"/>
      <c r="K33" s="398"/>
      <c r="L33" s="399"/>
      <c r="M33" s="218">
        <f>SUMIF($C$8:$C$28,"=G",$I$8:$I$28)+SUMIF($Q$8:$Q$28,"=G",$K$8:$K$28)</f>
        <v>9.8879999999999999</v>
      </c>
      <c r="N33" s="406" t="s">
        <v>37</v>
      </c>
      <c r="O33" s="407"/>
      <c r="P33" s="408"/>
      <c r="Q33" s="403">
        <f>IF($M33&gt;10,10+($M33-10)*0.5,$M33)</f>
        <v>9.8879999999999999</v>
      </c>
      <c r="R33" s="404"/>
      <c r="S33" s="405"/>
      <c r="U33" s="57"/>
      <c r="V33" s="57"/>
      <c r="W33" s="57"/>
      <c r="X33" s="57"/>
    </row>
    <row r="34" spans="1:24" ht="14.1" customHeight="1" x14ac:dyDescent="0.25">
      <c r="A34" s="219"/>
      <c r="B34" s="243"/>
      <c r="C34" s="243"/>
      <c r="D34" s="243"/>
      <c r="E34" s="243"/>
      <c r="F34" s="243"/>
      <c r="G34" s="244"/>
      <c r="H34" s="212"/>
      <c r="I34" s="397" t="s">
        <v>34</v>
      </c>
      <c r="J34" s="398"/>
      <c r="K34" s="398"/>
      <c r="L34" s="399"/>
      <c r="M34" s="218">
        <f>SUMIF($C$8:$C$28,"=K",$I$8:$I$28)+SUMIF($Q$8:$Q$28,"=K",$K$8:$K$28)</f>
        <v>0</v>
      </c>
      <c r="N34" s="400">
        <v>0.65</v>
      </c>
      <c r="O34" s="401"/>
      <c r="P34" s="402"/>
      <c r="Q34" s="403">
        <f>M34*(U13*U14*U15*U16)</f>
        <v>0</v>
      </c>
      <c r="R34" s="404"/>
      <c r="S34" s="405"/>
      <c r="U34" s="57"/>
      <c r="V34" s="57"/>
      <c r="W34" s="57"/>
      <c r="X34" s="57"/>
    </row>
    <row r="35" spans="1:24" ht="14.1" customHeight="1" x14ac:dyDescent="0.25">
      <c r="A35" s="210"/>
      <c r="B35" s="243"/>
      <c r="C35" s="243"/>
      <c r="D35" s="243"/>
      <c r="E35" s="243"/>
      <c r="F35" s="243"/>
      <c r="G35" s="244"/>
      <c r="H35" s="212"/>
      <c r="I35" s="409" t="s">
        <v>47</v>
      </c>
      <c r="J35" s="410"/>
      <c r="K35" s="410"/>
      <c r="L35" s="411"/>
      <c r="M35" s="221">
        <f>SUM(U9:U10)</f>
        <v>28.08</v>
      </c>
      <c r="N35" s="412" t="s">
        <v>36</v>
      </c>
      <c r="O35" s="413"/>
      <c r="P35" s="414"/>
      <c r="Q35" s="415">
        <f>U9+U10*1.25</f>
        <v>31.589999999999996</v>
      </c>
      <c r="R35" s="416"/>
      <c r="S35" s="417"/>
      <c r="U35" s="57"/>
      <c r="V35" s="57"/>
      <c r="W35" s="57"/>
      <c r="X35" s="57"/>
    </row>
    <row r="36" spans="1:24" ht="14.1" customHeight="1" thickBot="1" x14ac:dyDescent="0.3">
      <c r="A36" s="210"/>
      <c r="B36" s="243"/>
      <c r="C36" s="242"/>
      <c r="D36" s="243"/>
      <c r="E36" s="243"/>
      <c r="F36" s="243"/>
      <c r="G36" s="244"/>
      <c r="H36" s="242"/>
      <c r="I36" s="242"/>
      <c r="J36" s="242"/>
      <c r="K36" s="242"/>
      <c r="L36" s="242"/>
      <c r="M36" s="243"/>
      <c r="N36" s="418" t="s">
        <v>35</v>
      </c>
      <c r="O36" s="418"/>
      <c r="P36" s="418"/>
      <c r="Q36" s="419" t="e">
        <f>SUM(Q31:S35)</f>
        <v>#REF!</v>
      </c>
      <c r="R36" s="419"/>
      <c r="S36" s="420"/>
      <c r="U36" s="57"/>
      <c r="V36" s="57"/>
      <c r="W36" s="57"/>
      <c r="X36" s="57"/>
    </row>
    <row r="37" spans="1:24" ht="14.1" customHeight="1" thickBot="1" x14ac:dyDescent="0.3">
      <c r="A37" s="210"/>
      <c r="B37" s="243"/>
      <c r="C37" s="242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407" t="s">
        <v>60</v>
      </c>
      <c r="O37" s="407"/>
      <c r="P37" s="421"/>
      <c r="Q37" s="422" t="e">
        <f>Q36/0.36</f>
        <v>#REF!</v>
      </c>
      <c r="R37" s="423"/>
      <c r="S37" s="424"/>
      <c r="U37" s="57"/>
      <c r="V37" s="57"/>
      <c r="W37" s="57"/>
      <c r="X37" s="57"/>
    </row>
    <row r="38" spans="1:24" ht="14.1" customHeight="1" thickBot="1" x14ac:dyDescent="0.3">
      <c r="A38" s="108"/>
      <c r="B38" s="19"/>
      <c r="C38" s="92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19"/>
      <c r="P38" s="19"/>
      <c r="Q38" s="19"/>
      <c r="R38" s="19"/>
      <c r="S38" s="21"/>
      <c r="U38" s="57"/>
      <c r="V38" s="57"/>
      <c r="W38" s="57"/>
      <c r="X38" s="57"/>
    </row>
    <row r="39" spans="1:24" ht="14.1" customHeight="1" x14ac:dyDescent="0.25">
      <c r="H39" s="2"/>
      <c r="I39" s="2"/>
      <c r="U39" s="57"/>
      <c r="V39" s="57"/>
      <c r="W39" s="57"/>
      <c r="X39" s="57"/>
    </row>
    <row r="40" spans="1:24" ht="14.1" customHeight="1" x14ac:dyDescent="0.25">
      <c r="H40" s="2"/>
      <c r="I40" s="2"/>
      <c r="O40" s="57"/>
      <c r="P40" s="57"/>
      <c r="Q40" s="1"/>
      <c r="R40" s="1"/>
      <c r="S40" s="1"/>
      <c r="T40" s="1"/>
    </row>
    <row r="41" spans="1:24" ht="14.1" customHeight="1" x14ac:dyDescent="0.25">
      <c r="H41" s="2"/>
      <c r="I41" s="2"/>
      <c r="P41" s="1"/>
      <c r="Q41" s="1"/>
      <c r="R41" s="1"/>
      <c r="S41" s="1"/>
      <c r="T41" s="1"/>
    </row>
    <row r="42" spans="1:24" ht="14.1" customHeight="1" x14ac:dyDescent="0.25">
      <c r="P42" s="1"/>
      <c r="Q42" s="1"/>
      <c r="R42" s="1"/>
      <c r="S42" s="1"/>
      <c r="T42" s="1"/>
    </row>
    <row r="44" spans="1:24" ht="14.1" customHeight="1" x14ac:dyDescent="0.25">
      <c r="A44" s="93"/>
      <c r="B44" s="93"/>
      <c r="C44" s="93"/>
      <c r="D44" s="93"/>
      <c r="E44" s="93"/>
      <c r="F44" s="94"/>
      <c r="G44" s="95"/>
      <c r="H44" s="95"/>
      <c r="I44" s="96"/>
    </row>
    <row r="46" spans="1:24" ht="14.1" customHeight="1" x14ac:dyDescent="0.25">
      <c r="K46" s="222"/>
      <c r="L46" s="425"/>
      <c r="M46" s="425"/>
      <c r="N46" s="425"/>
    </row>
  </sheetData>
  <mergeCells count="80">
    <mergeCell ref="N36:P36"/>
    <mergeCell ref="Q36:S36"/>
    <mergeCell ref="N37:P37"/>
    <mergeCell ref="Q37:S37"/>
    <mergeCell ref="L46:N46"/>
    <mergeCell ref="I34:L34"/>
    <mergeCell ref="N34:P34"/>
    <mergeCell ref="Q34:S34"/>
    <mergeCell ref="I35:L35"/>
    <mergeCell ref="N35:P35"/>
    <mergeCell ref="Q35:S35"/>
    <mergeCell ref="I32:L32"/>
    <mergeCell ref="N32:P32"/>
    <mergeCell ref="Q32:S32"/>
    <mergeCell ref="I33:L33"/>
    <mergeCell ref="N33:P33"/>
    <mergeCell ref="Q33:S33"/>
    <mergeCell ref="I29:S29"/>
    <mergeCell ref="I30:L30"/>
    <mergeCell ref="N30:P30"/>
    <mergeCell ref="I31:L31"/>
    <mergeCell ref="N31:P31"/>
    <mergeCell ref="Q31:S31"/>
    <mergeCell ref="F26:H26"/>
    <mergeCell ref="L26:N28"/>
    <mergeCell ref="O26:O28"/>
    <mergeCell ref="P26:P28"/>
    <mergeCell ref="D27:D28"/>
    <mergeCell ref="E27:E28"/>
    <mergeCell ref="F27:H28"/>
    <mergeCell ref="D23:D25"/>
    <mergeCell ref="E23:E25"/>
    <mergeCell ref="F23:H25"/>
    <mergeCell ref="L23:N23"/>
    <mergeCell ref="L24:N24"/>
    <mergeCell ref="L25:N25"/>
    <mergeCell ref="F20:H20"/>
    <mergeCell ref="L20:N20"/>
    <mergeCell ref="F21:H21"/>
    <mergeCell ref="L21:N21"/>
    <mergeCell ref="F22:H22"/>
    <mergeCell ref="L22:N22"/>
    <mergeCell ref="F17:H17"/>
    <mergeCell ref="L17:N17"/>
    <mergeCell ref="F18:H18"/>
    <mergeCell ref="L18:N18"/>
    <mergeCell ref="F19:H19"/>
    <mergeCell ref="L19:N19"/>
    <mergeCell ref="F14:H14"/>
    <mergeCell ref="L14:N14"/>
    <mergeCell ref="F15:H15"/>
    <mergeCell ref="L15:N15"/>
    <mergeCell ref="F16:H16"/>
    <mergeCell ref="L16:N16"/>
    <mergeCell ref="F11:H11"/>
    <mergeCell ref="L11:N11"/>
    <mergeCell ref="F12:H12"/>
    <mergeCell ref="L12:N12"/>
    <mergeCell ref="F13:H13"/>
    <mergeCell ref="L13:N13"/>
    <mergeCell ref="R6:R7"/>
    <mergeCell ref="S6:S7"/>
    <mergeCell ref="D8:D10"/>
    <mergeCell ref="E8:E10"/>
    <mergeCell ref="F8:H10"/>
    <mergeCell ref="L8:N8"/>
    <mergeCell ref="L9:N9"/>
    <mergeCell ref="L10:N10"/>
    <mergeCell ref="I6:I7"/>
    <mergeCell ref="J6:J7"/>
    <mergeCell ref="K6:K7"/>
    <mergeCell ref="L6:N7"/>
    <mergeCell ref="O6:P6"/>
    <mergeCell ref="Q6:Q7"/>
    <mergeCell ref="A3:E5"/>
    <mergeCell ref="A6:A7"/>
    <mergeCell ref="B6:B7"/>
    <mergeCell ref="C6:C7"/>
    <mergeCell ref="D6:E6"/>
    <mergeCell ref="F6:H7"/>
  </mergeCells>
  <pageMargins left="0.5" right="0.5" top="0.5" bottom="0.5" header="0.5" footer="0.5"/>
  <pageSetup scale="96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C434-3926-4460-BCBE-932FB3A54D45}">
  <sheetPr codeName="Sheet6">
    <pageSetUpPr fitToPage="1"/>
  </sheetPr>
  <dimension ref="A1:X46"/>
  <sheetViews>
    <sheetView showGridLines="0" zoomScaleNormal="100" workbookViewId="0">
      <selection activeCell="A6" sqref="A6:A7"/>
    </sheetView>
  </sheetViews>
  <sheetFormatPr defaultColWidth="9.28515625" defaultRowHeight="14.1" customHeight="1" x14ac:dyDescent="0.25"/>
  <cols>
    <col min="1" max="1" width="4" style="1" customWidth="1"/>
    <col min="2" max="5" width="4" style="2" customWidth="1"/>
    <col min="6" max="6" width="17.28515625" style="2" customWidth="1"/>
    <col min="7" max="7" width="18.7109375" style="2" customWidth="1"/>
    <col min="8" max="8" width="1.7109375" style="1" customWidth="1"/>
    <col min="9" max="9" width="6.7109375" style="1" customWidth="1"/>
    <col min="10" max="10" width="4" style="2" customWidth="1"/>
    <col min="11" max="11" width="6.7109375" style="2" customWidth="1"/>
    <col min="12" max="12" width="3.5703125" style="2" customWidth="1"/>
    <col min="13" max="13" width="9.5703125" style="2" customWidth="1"/>
    <col min="14" max="14" width="26.7109375" style="2" customWidth="1"/>
    <col min="15" max="15" width="4" style="1" customWidth="1"/>
    <col min="16" max="20" width="4" style="2" customWidth="1"/>
    <col min="21" max="21" width="0" style="1" hidden="1" customWidth="1"/>
    <col min="22" max="23" width="9.28515625" style="1"/>
    <col min="24" max="24" width="8.5703125" style="1" customWidth="1"/>
    <col min="25" max="16384" width="9.28515625" style="1"/>
  </cols>
  <sheetData>
    <row r="1" spans="1:24" ht="14.1" customHeight="1" thickBot="1" x14ac:dyDescent="0.3"/>
    <row r="2" spans="1:24" ht="14.1" customHeight="1" x14ac:dyDescent="0.25">
      <c r="A2" s="228"/>
      <c r="B2" s="229"/>
      <c r="C2" s="229"/>
      <c r="D2" s="229"/>
      <c r="E2" s="229"/>
      <c r="F2" s="230" t="s">
        <v>0</v>
      </c>
      <c r="G2" s="231" t="s">
        <v>48</v>
      </c>
      <c r="H2" s="208"/>
      <c r="I2" s="230" t="s">
        <v>1</v>
      </c>
      <c r="J2" s="230"/>
      <c r="K2" s="231">
        <v>4</v>
      </c>
      <c r="L2" s="207"/>
      <c r="M2" s="230" t="s">
        <v>2</v>
      </c>
      <c r="N2" s="231" t="s">
        <v>46</v>
      </c>
      <c r="O2" s="207"/>
      <c r="P2" s="232" t="s">
        <v>3</v>
      </c>
      <c r="Q2" s="232"/>
      <c r="R2" s="232"/>
      <c r="S2" s="233"/>
    </row>
    <row r="3" spans="1:24" ht="16.149999999999999" customHeight="1" x14ac:dyDescent="0.25">
      <c r="A3" s="483" t="s">
        <v>110</v>
      </c>
      <c r="B3" s="484"/>
      <c r="C3" s="484"/>
      <c r="D3" s="484"/>
      <c r="E3" s="484"/>
      <c r="F3" s="234" t="s">
        <v>4</v>
      </c>
      <c r="G3" s="235" t="s">
        <v>42</v>
      </c>
      <c r="H3" s="192"/>
      <c r="I3" s="234" t="s">
        <v>5</v>
      </c>
      <c r="J3" s="234"/>
      <c r="K3" s="204">
        <v>3</v>
      </c>
      <c r="L3" s="192"/>
      <c r="M3" s="234" t="s">
        <v>6</v>
      </c>
      <c r="N3" s="236">
        <v>22000</v>
      </c>
      <c r="O3" s="192"/>
      <c r="P3" s="220"/>
      <c r="Q3" s="235"/>
      <c r="R3" s="235"/>
      <c r="S3" s="237"/>
      <c r="U3" s="16"/>
      <c r="V3" s="16"/>
      <c r="W3" s="16"/>
      <c r="X3" s="16"/>
    </row>
    <row r="4" spans="1:24" ht="14.1" customHeight="1" x14ac:dyDescent="0.25">
      <c r="A4" s="483"/>
      <c r="B4" s="484"/>
      <c r="C4" s="484"/>
      <c r="D4" s="484"/>
      <c r="E4" s="484"/>
      <c r="F4" s="234" t="s">
        <v>7</v>
      </c>
      <c r="G4" s="238" t="s">
        <v>70</v>
      </c>
      <c r="H4" s="192"/>
      <c r="I4" s="234" t="s">
        <v>8</v>
      </c>
      <c r="J4" s="234"/>
      <c r="K4" s="204" t="s">
        <v>73</v>
      </c>
      <c r="L4" s="192"/>
      <c r="M4" s="234" t="s">
        <v>9</v>
      </c>
      <c r="N4" s="238" t="s">
        <v>44</v>
      </c>
      <c r="O4" s="192"/>
      <c r="P4" s="213"/>
      <c r="Q4" s="204"/>
      <c r="R4" s="204"/>
      <c r="S4" s="215"/>
      <c r="U4" s="16"/>
      <c r="V4" s="16"/>
      <c r="W4" s="16"/>
      <c r="X4" s="16"/>
    </row>
    <row r="5" spans="1:24" ht="6" customHeight="1" thickBot="1" x14ac:dyDescent="0.3">
      <c r="A5" s="483"/>
      <c r="B5" s="485"/>
      <c r="C5" s="485"/>
      <c r="D5" s="485"/>
      <c r="E5" s="485"/>
      <c r="F5" s="243"/>
      <c r="G5" s="244"/>
      <c r="H5" s="244"/>
      <c r="I5" s="243"/>
      <c r="J5" s="243"/>
      <c r="K5" s="243"/>
      <c r="L5" s="243"/>
      <c r="M5" s="243"/>
      <c r="N5" s="244"/>
      <c r="O5" s="243"/>
      <c r="P5" s="243"/>
      <c r="Q5" s="243"/>
      <c r="R5" s="243"/>
      <c r="S5" s="272"/>
      <c r="U5" s="16"/>
      <c r="V5" s="16"/>
      <c r="W5" s="16"/>
      <c r="X5" s="16"/>
    </row>
    <row r="6" spans="1:24" s="270" customFormat="1" ht="31.15" customHeight="1" x14ac:dyDescent="0.2">
      <c r="A6" s="348" t="s">
        <v>39</v>
      </c>
      <c r="B6" s="342" t="s">
        <v>10</v>
      </c>
      <c r="C6" s="342" t="s">
        <v>11</v>
      </c>
      <c r="D6" s="350" t="s">
        <v>12</v>
      </c>
      <c r="E6" s="351"/>
      <c r="F6" s="352" t="s">
        <v>38</v>
      </c>
      <c r="G6" s="353"/>
      <c r="H6" s="354"/>
      <c r="I6" s="373" t="s">
        <v>14</v>
      </c>
      <c r="J6" s="342" t="s">
        <v>15</v>
      </c>
      <c r="K6" s="373" t="s">
        <v>14</v>
      </c>
      <c r="L6" s="352" t="s">
        <v>13</v>
      </c>
      <c r="M6" s="353"/>
      <c r="N6" s="354"/>
      <c r="O6" s="375" t="s">
        <v>12</v>
      </c>
      <c r="P6" s="375"/>
      <c r="Q6" s="342" t="s">
        <v>11</v>
      </c>
      <c r="R6" s="342" t="s">
        <v>10</v>
      </c>
      <c r="S6" s="361" t="s">
        <v>39</v>
      </c>
      <c r="U6" s="271"/>
      <c r="V6" s="271"/>
      <c r="W6" s="271"/>
      <c r="X6" s="271"/>
    </row>
    <row r="7" spans="1:24" s="270" customFormat="1" ht="13.9" customHeight="1" thickBot="1" x14ac:dyDescent="0.25">
      <c r="A7" s="349"/>
      <c r="B7" s="343"/>
      <c r="C7" s="343"/>
      <c r="D7" s="269" t="s">
        <v>16</v>
      </c>
      <c r="E7" s="276" t="s">
        <v>17</v>
      </c>
      <c r="F7" s="355"/>
      <c r="G7" s="356"/>
      <c r="H7" s="357"/>
      <c r="I7" s="374"/>
      <c r="J7" s="343"/>
      <c r="K7" s="374"/>
      <c r="L7" s="355"/>
      <c r="M7" s="356"/>
      <c r="N7" s="357"/>
      <c r="O7" s="276" t="s">
        <v>16</v>
      </c>
      <c r="P7" s="276" t="s">
        <v>17</v>
      </c>
      <c r="Q7" s="343"/>
      <c r="R7" s="343"/>
      <c r="S7" s="362"/>
      <c r="U7" s="271"/>
      <c r="V7" s="271"/>
      <c r="W7" s="271"/>
      <c r="X7" s="271"/>
    </row>
    <row r="8" spans="1:24" ht="13.15" customHeight="1" x14ac:dyDescent="0.25">
      <c r="A8" s="199">
        <v>1</v>
      </c>
      <c r="B8" s="181"/>
      <c r="C8" s="176"/>
      <c r="D8" s="176">
        <v>1</v>
      </c>
      <c r="E8" s="176">
        <v>20</v>
      </c>
      <c r="F8" s="567" t="s">
        <v>62</v>
      </c>
      <c r="G8" s="568"/>
      <c r="H8" s="569"/>
      <c r="I8" s="277"/>
      <c r="J8" s="190" t="s">
        <v>18</v>
      </c>
      <c r="K8" s="227">
        <v>1</v>
      </c>
      <c r="L8" s="409" t="s">
        <v>75</v>
      </c>
      <c r="M8" s="410"/>
      <c r="N8" s="411"/>
      <c r="O8" s="176">
        <v>1</v>
      </c>
      <c r="P8" s="176">
        <v>20</v>
      </c>
      <c r="Q8" s="226" t="s">
        <v>40</v>
      </c>
      <c r="R8" s="176"/>
      <c r="S8" s="189">
        <v>2</v>
      </c>
      <c r="U8" s="16"/>
      <c r="V8" s="16"/>
      <c r="W8" s="16"/>
      <c r="X8" s="16"/>
    </row>
    <row r="9" spans="1:24" ht="13.15" customHeight="1" x14ac:dyDescent="0.25">
      <c r="A9" s="177">
        <v>3</v>
      </c>
      <c r="B9" s="181"/>
      <c r="C9" s="178" t="s">
        <v>40</v>
      </c>
      <c r="D9" s="178">
        <v>1</v>
      </c>
      <c r="E9" s="178">
        <v>20</v>
      </c>
      <c r="F9" s="446" t="s">
        <v>104</v>
      </c>
      <c r="G9" s="447"/>
      <c r="H9" s="448"/>
      <c r="I9" s="196">
        <v>0.25</v>
      </c>
      <c r="J9" s="187" t="s">
        <v>20</v>
      </c>
      <c r="K9" s="200">
        <v>0.5</v>
      </c>
      <c r="L9" s="446" t="s">
        <v>101</v>
      </c>
      <c r="M9" s="447"/>
      <c r="N9" s="448"/>
      <c r="O9" s="178">
        <v>1</v>
      </c>
      <c r="P9" s="178">
        <v>20</v>
      </c>
      <c r="Q9" s="201" t="s">
        <v>65</v>
      </c>
      <c r="R9" s="178"/>
      <c r="S9" s="186">
        <v>4</v>
      </c>
      <c r="U9" s="51">
        <f>SUMIF($C$8:$C$28,"=M",$I$8:$I$28)+SUMIF($Q$8:$Q$28,"=M",$K$8:$K$28)</f>
        <v>0</v>
      </c>
      <c r="V9" s="16"/>
      <c r="W9" s="16"/>
      <c r="X9" s="16"/>
    </row>
    <row r="10" spans="1:24" ht="13.15" customHeight="1" x14ac:dyDescent="0.25">
      <c r="A10" s="177">
        <v>5</v>
      </c>
      <c r="B10" s="181"/>
      <c r="C10" s="178" t="s">
        <v>65</v>
      </c>
      <c r="D10" s="178">
        <v>1</v>
      </c>
      <c r="E10" s="178">
        <v>20</v>
      </c>
      <c r="F10" s="446" t="s">
        <v>86</v>
      </c>
      <c r="G10" s="447"/>
      <c r="H10" s="448"/>
      <c r="I10" s="196">
        <v>0.25</v>
      </c>
      <c r="J10" s="187" t="s">
        <v>19</v>
      </c>
      <c r="K10" s="196">
        <v>0.25</v>
      </c>
      <c r="L10" s="446" t="s">
        <v>87</v>
      </c>
      <c r="M10" s="447"/>
      <c r="N10" s="448"/>
      <c r="O10" s="178">
        <v>1</v>
      </c>
      <c r="P10" s="178">
        <v>20</v>
      </c>
      <c r="Q10" s="184" t="s">
        <v>40</v>
      </c>
      <c r="R10" s="178"/>
      <c r="S10" s="186">
        <v>6</v>
      </c>
      <c r="T10" s="192"/>
      <c r="U10" s="51">
        <f>SUMIF($C$8:$C$28,"=ML",$I$8:$I$28)+SUMIF($Q$8:$Q$28,"=ML",$K$8:$K$28)</f>
        <v>0</v>
      </c>
      <c r="V10" s="16"/>
      <c r="W10" s="16"/>
      <c r="X10" s="16"/>
    </row>
    <row r="11" spans="1:24" ht="13.15" customHeight="1" x14ac:dyDescent="0.25">
      <c r="A11" s="177">
        <v>7</v>
      </c>
      <c r="B11" s="181"/>
      <c r="C11" s="178" t="s">
        <v>65</v>
      </c>
      <c r="D11" s="178">
        <v>1</v>
      </c>
      <c r="E11" s="178">
        <v>20</v>
      </c>
      <c r="F11" s="446" t="s">
        <v>105</v>
      </c>
      <c r="G11" s="447"/>
      <c r="H11" s="448"/>
      <c r="I11" s="196">
        <v>0.5</v>
      </c>
      <c r="J11" s="187" t="s">
        <v>18</v>
      </c>
      <c r="K11" s="193">
        <f>2*0.36</f>
        <v>0.72</v>
      </c>
      <c r="L11" s="446" t="s">
        <v>102</v>
      </c>
      <c r="M11" s="447"/>
      <c r="N11" s="448"/>
      <c r="O11" s="178">
        <v>1</v>
      </c>
      <c r="P11" s="178">
        <v>20</v>
      </c>
      <c r="Q11" s="184" t="s">
        <v>65</v>
      </c>
      <c r="R11" s="178"/>
      <c r="S11" s="186">
        <v>8</v>
      </c>
      <c r="T11" s="192"/>
      <c r="U11" s="16">
        <f>SUMIF($C$8:$C$28,"=K",$I$8:$I$28)+SUMIF($Q$8:$Q$28,"=K",$K$8:$K$28)</f>
        <v>0</v>
      </c>
      <c r="V11" s="16"/>
      <c r="W11" s="16"/>
      <c r="X11" s="16"/>
    </row>
    <row r="12" spans="1:24" ht="13.15" customHeight="1" x14ac:dyDescent="0.25">
      <c r="A12" s="177">
        <v>9</v>
      </c>
      <c r="B12" s="181"/>
      <c r="C12" s="178" t="s">
        <v>40</v>
      </c>
      <c r="D12" s="178">
        <v>1</v>
      </c>
      <c r="E12" s="178">
        <v>20</v>
      </c>
      <c r="F12" s="446" t="s">
        <v>85</v>
      </c>
      <c r="G12" s="447"/>
      <c r="H12" s="448"/>
      <c r="I12" s="196">
        <v>0.25</v>
      </c>
      <c r="J12" s="187" t="s">
        <v>20</v>
      </c>
      <c r="K12" s="193">
        <v>0.36</v>
      </c>
      <c r="L12" s="446" t="s">
        <v>103</v>
      </c>
      <c r="M12" s="447"/>
      <c r="N12" s="448"/>
      <c r="O12" s="178">
        <v>1</v>
      </c>
      <c r="P12" s="178">
        <v>20</v>
      </c>
      <c r="Q12" s="184" t="s">
        <v>65</v>
      </c>
      <c r="R12" s="178"/>
      <c r="S12" s="186">
        <v>10</v>
      </c>
      <c r="T12" s="192"/>
      <c r="U12" s="16">
        <f>SUMIF($C$8:$C$28,"=KL",$I$8:$I$28)+SUMIF($Q$8:$Q$28,"=KL",$K$8:$K$28)</f>
        <v>0</v>
      </c>
      <c r="V12" s="16"/>
      <c r="W12" s="16"/>
      <c r="X12" s="16"/>
    </row>
    <row r="13" spans="1:24" ht="13.15" customHeight="1" x14ac:dyDescent="0.25">
      <c r="A13" s="177">
        <v>11</v>
      </c>
      <c r="B13" s="181"/>
      <c r="C13" s="178" t="s">
        <v>40</v>
      </c>
      <c r="D13" s="178">
        <v>1</v>
      </c>
      <c r="E13" s="178">
        <v>20</v>
      </c>
      <c r="F13" s="446" t="s">
        <v>85</v>
      </c>
      <c r="G13" s="447"/>
      <c r="H13" s="448"/>
      <c r="I13" s="194">
        <v>0.25</v>
      </c>
      <c r="J13" s="187" t="s">
        <v>19</v>
      </c>
      <c r="K13" s="193">
        <v>0.54</v>
      </c>
      <c r="L13" s="446" t="s">
        <v>89</v>
      </c>
      <c r="M13" s="447"/>
      <c r="N13" s="448"/>
      <c r="O13" s="178">
        <v>1</v>
      </c>
      <c r="P13" s="178">
        <v>20</v>
      </c>
      <c r="Q13" s="188" t="s">
        <v>65</v>
      </c>
      <c r="R13" s="178"/>
      <c r="S13" s="186">
        <v>12</v>
      </c>
      <c r="T13" s="192"/>
      <c r="U13" s="16">
        <f>IF(N34=90%,0.9,1)</f>
        <v>1</v>
      </c>
      <c r="V13" s="16"/>
      <c r="W13" s="16"/>
      <c r="X13" s="16"/>
    </row>
    <row r="14" spans="1:24" ht="13.15" customHeight="1" x14ac:dyDescent="0.25">
      <c r="A14" s="179">
        <v>13</v>
      </c>
      <c r="B14" s="176"/>
      <c r="C14" s="178" t="s">
        <v>65</v>
      </c>
      <c r="D14" s="178">
        <v>1</v>
      </c>
      <c r="E14" s="178">
        <v>20</v>
      </c>
      <c r="F14" s="446" t="s">
        <v>106</v>
      </c>
      <c r="G14" s="447"/>
      <c r="H14" s="448"/>
      <c r="I14" s="196">
        <v>0.25</v>
      </c>
      <c r="J14" s="187" t="s">
        <v>18</v>
      </c>
      <c r="K14" s="193">
        <v>1</v>
      </c>
      <c r="L14" s="446" t="s">
        <v>90</v>
      </c>
      <c r="M14" s="447"/>
      <c r="N14" s="448"/>
      <c r="O14" s="178">
        <v>1</v>
      </c>
      <c r="P14" s="178">
        <v>20</v>
      </c>
      <c r="Q14" s="184" t="s">
        <v>65</v>
      </c>
      <c r="R14" s="178"/>
      <c r="S14" s="186">
        <v>14</v>
      </c>
      <c r="T14" s="192"/>
      <c r="U14" s="16">
        <f>IF(N34=80%,0.8,1)</f>
        <v>1</v>
      </c>
      <c r="V14" s="16"/>
      <c r="W14" s="16"/>
      <c r="X14" s="16"/>
    </row>
    <row r="15" spans="1:24" ht="13.15" customHeight="1" x14ac:dyDescent="0.25">
      <c r="A15" s="180">
        <v>15</v>
      </c>
      <c r="B15" s="181"/>
      <c r="C15" s="178" t="s">
        <v>65</v>
      </c>
      <c r="D15" s="178">
        <v>1</v>
      </c>
      <c r="E15" s="178">
        <v>20</v>
      </c>
      <c r="F15" s="446" t="s">
        <v>88</v>
      </c>
      <c r="G15" s="447"/>
      <c r="H15" s="448"/>
      <c r="I15" s="194">
        <v>0.36</v>
      </c>
      <c r="J15" s="190" t="s">
        <v>20</v>
      </c>
      <c r="K15" s="193">
        <v>0.25</v>
      </c>
      <c r="L15" s="446" t="s">
        <v>92</v>
      </c>
      <c r="M15" s="447"/>
      <c r="N15" s="448"/>
      <c r="O15" s="178">
        <v>1</v>
      </c>
      <c r="P15" s="178">
        <v>20</v>
      </c>
      <c r="Q15" s="184" t="s">
        <v>40</v>
      </c>
      <c r="R15" s="178"/>
      <c r="S15" s="189">
        <v>16</v>
      </c>
      <c r="T15" s="192"/>
      <c r="U15" s="16">
        <f>IF(N34=70%,0.7,1)</f>
        <v>1</v>
      </c>
      <c r="V15" s="16"/>
      <c r="W15" s="16"/>
      <c r="X15" s="16"/>
    </row>
    <row r="16" spans="1:24" ht="13.15" customHeight="1" x14ac:dyDescent="0.25">
      <c r="A16" s="179">
        <v>17</v>
      </c>
      <c r="B16" s="181"/>
      <c r="C16" s="178" t="s">
        <v>65</v>
      </c>
      <c r="D16" s="178">
        <v>1</v>
      </c>
      <c r="E16" s="178">
        <v>20</v>
      </c>
      <c r="F16" s="446" t="s">
        <v>108</v>
      </c>
      <c r="G16" s="447"/>
      <c r="H16" s="448"/>
      <c r="I16" s="194">
        <v>0.36</v>
      </c>
      <c r="J16" s="187" t="s">
        <v>19</v>
      </c>
      <c r="K16" s="193">
        <f>7.2*0.12</f>
        <v>0.86399999999999999</v>
      </c>
      <c r="L16" s="446" t="s">
        <v>93</v>
      </c>
      <c r="M16" s="447"/>
      <c r="N16" s="448"/>
      <c r="O16" s="178">
        <v>1</v>
      </c>
      <c r="P16" s="178">
        <v>20</v>
      </c>
      <c r="Q16" s="188" t="s">
        <v>40</v>
      </c>
      <c r="R16" s="178"/>
      <c r="S16" s="186">
        <v>18</v>
      </c>
      <c r="T16" s="192"/>
      <c r="U16" s="16">
        <f>IF(N34=65%,0.65,1)</f>
        <v>0.65</v>
      </c>
      <c r="V16" s="16"/>
      <c r="W16" s="16"/>
      <c r="X16" s="16"/>
    </row>
    <row r="17" spans="1:24" ht="13.15" customHeight="1" x14ac:dyDescent="0.25">
      <c r="A17" s="179">
        <v>19</v>
      </c>
      <c r="B17" s="181"/>
      <c r="C17" s="178"/>
      <c r="D17" s="178">
        <v>1</v>
      </c>
      <c r="E17" s="178">
        <v>20</v>
      </c>
      <c r="F17" s="446" t="s">
        <v>62</v>
      </c>
      <c r="G17" s="447"/>
      <c r="H17" s="448"/>
      <c r="I17" s="196"/>
      <c r="J17" s="191" t="s">
        <v>18</v>
      </c>
      <c r="K17" s="193"/>
      <c r="L17" s="446" t="s">
        <v>62</v>
      </c>
      <c r="M17" s="447"/>
      <c r="N17" s="448"/>
      <c r="O17" s="178">
        <v>1</v>
      </c>
      <c r="P17" s="178">
        <v>20</v>
      </c>
      <c r="Q17" s="188"/>
      <c r="R17" s="178"/>
      <c r="S17" s="189">
        <v>20</v>
      </c>
      <c r="T17" s="192"/>
      <c r="U17" s="16"/>
      <c r="V17" s="16"/>
      <c r="W17" s="16"/>
      <c r="X17" s="16"/>
    </row>
    <row r="18" spans="1:24" ht="13.15" customHeight="1" x14ac:dyDescent="0.25">
      <c r="A18" s="179">
        <v>21</v>
      </c>
      <c r="B18" s="181"/>
      <c r="C18" s="178" t="s">
        <v>65</v>
      </c>
      <c r="D18" s="178">
        <v>1</v>
      </c>
      <c r="E18" s="178">
        <v>20</v>
      </c>
      <c r="F18" s="446" t="s">
        <v>109</v>
      </c>
      <c r="G18" s="447"/>
      <c r="H18" s="448"/>
      <c r="I18" s="196">
        <v>0.25</v>
      </c>
      <c r="J18" s="187" t="s">
        <v>20</v>
      </c>
      <c r="K18" s="193">
        <v>1</v>
      </c>
      <c r="L18" s="446" t="s">
        <v>107</v>
      </c>
      <c r="M18" s="447"/>
      <c r="N18" s="448"/>
      <c r="O18" s="178">
        <v>1</v>
      </c>
      <c r="P18" s="178">
        <v>20</v>
      </c>
      <c r="Q18" s="188" t="s">
        <v>40</v>
      </c>
      <c r="R18" s="178"/>
      <c r="S18" s="186">
        <v>22</v>
      </c>
      <c r="T18" s="192"/>
      <c r="U18" s="16"/>
      <c r="V18" s="16"/>
      <c r="W18" s="16"/>
      <c r="X18" s="16"/>
    </row>
    <row r="19" spans="1:24" ht="13.15" customHeight="1" x14ac:dyDescent="0.25">
      <c r="A19" s="179">
        <v>23</v>
      </c>
      <c r="B19" s="181"/>
      <c r="C19" s="176" t="s">
        <v>65</v>
      </c>
      <c r="D19" s="176">
        <v>1</v>
      </c>
      <c r="E19" s="176">
        <v>20</v>
      </c>
      <c r="F19" s="567" t="s">
        <v>84</v>
      </c>
      <c r="G19" s="568"/>
      <c r="H19" s="569"/>
      <c r="I19" s="277">
        <v>0.18</v>
      </c>
      <c r="J19" s="187" t="s">
        <v>19</v>
      </c>
      <c r="K19" s="202">
        <f>12*0.12</f>
        <v>1.44</v>
      </c>
      <c r="L19" s="446" t="s">
        <v>91</v>
      </c>
      <c r="M19" s="447"/>
      <c r="N19" s="448"/>
      <c r="O19" s="178">
        <v>1</v>
      </c>
      <c r="P19" s="178">
        <v>20</v>
      </c>
      <c r="Q19" s="184" t="s">
        <v>40</v>
      </c>
      <c r="R19" s="178"/>
      <c r="S19" s="186">
        <v>24</v>
      </c>
      <c r="T19" s="192"/>
      <c r="U19" s="16"/>
      <c r="V19" s="16"/>
      <c r="W19" s="16"/>
      <c r="X19" s="16"/>
    </row>
    <row r="20" spans="1:24" ht="13.15" customHeight="1" x14ac:dyDescent="0.25">
      <c r="A20" s="180">
        <v>25</v>
      </c>
      <c r="B20" s="176"/>
      <c r="C20" s="178" t="s">
        <v>40</v>
      </c>
      <c r="D20" s="178">
        <v>1</v>
      </c>
      <c r="E20" s="178">
        <v>20</v>
      </c>
      <c r="F20" s="446" t="s">
        <v>76</v>
      </c>
      <c r="G20" s="447"/>
      <c r="H20" s="448"/>
      <c r="I20" s="198">
        <v>0.5</v>
      </c>
      <c r="J20" s="187" t="s">
        <v>18</v>
      </c>
      <c r="K20" s="202">
        <f>4*0.18</f>
        <v>0.72</v>
      </c>
      <c r="L20" s="446" t="s">
        <v>127</v>
      </c>
      <c r="M20" s="447"/>
      <c r="N20" s="448"/>
      <c r="O20" s="178">
        <v>1</v>
      </c>
      <c r="P20" s="178">
        <v>20</v>
      </c>
      <c r="Q20" s="184" t="s">
        <v>40</v>
      </c>
      <c r="R20" s="178"/>
      <c r="S20" s="186">
        <v>26</v>
      </c>
      <c r="T20" s="192"/>
      <c r="U20" s="16"/>
      <c r="V20" s="16"/>
      <c r="W20" s="16"/>
      <c r="X20" s="16"/>
    </row>
    <row r="21" spans="1:24" ht="13.15" customHeight="1" x14ac:dyDescent="0.25">
      <c r="A21" s="179">
        <v>27</v>
      </c>
      <c r="B21" s="181"/>
      <c r="C21" s="178" t="s">
        <v>40</v>
      </c>
      <c r="D21" s="178">
        <v>1</v>
      </c>
      <c r="E21" s="178">
        <v>20</v>
      </c>
      <c r="F21" s="446" t="s">
        <v>77</v>
      </c>
      <c r="G21" s="447"/>
      <c r="H21" s="448"/>
      <c r="I21" s="198">
        <v>0.5</v>
      </c>
      <c r="J21" s="187" t="s">
        <v>20</v>
      </c>
      <c r="K21" s="202">
        <f>4*0.18</f>
        <v>0.72</v>
      </c>
      <c r="L21" s="446" t="s">
        <v>128</v>
      </c>
      <c r="M21" s="447"/>
      <c r="N21" s="448"/>
      <c r="O21" s="178">
        <v>1</v>
      </c>
      <c r="P21" s="178">
        <v>20</v>
      </c>
      <c r="Q21" s="184" t="s">
        <v>40</v>
      </c>
      <c r="R21" s="178"/>
      <c r="S21" s="186">
        <v>28</v>
      </c>
      <c r="T21" s="192"/>
      <c r="U21" s="16"/>
      <c r="V21" s="16"/>
      <c r="W21" s="16"/>
      <c r="X21" s="16"/>
    </row>
    <row r="22" spans="1:24" ht="13.15" customHeight="1" x14ac:dyDescent="0.25">
      <c r="A22" s="182">
        <v>29</v>
      </c>
      <c r="B22" s="181"/>
      <c r="C22" s="178" t="s">
        <v>40</v>
      </c>
      <c r="D22" s="178">
        <v>1</v>
      </c>
      <c r="E22" s="178">
        <v>20</v>
      </c>
      <c r="F22" s="446" t="s">
        <v>77</v>
      </c>
      <c r="G22" s="447"/>
      <c r="H22" s="448"/>
      <c r="I22" s="196">
        <v>0.5</v>
      </c>
      <c r="J22" s="191" t="s">
        <v>19</v>
      </c>
      <c r="K22" s="195"/>
      <c r="L22" s="446" t="s">
        <v>62</v>
      </c>
      <c r="M22" s="447"/>
      <c r="N22" s="448"/>
      <c r="O22" s="178">
        <v>1</v>
      </c>
      <c r="P22" s="178">
        <v>20</v>
      </c>
      <c r="Q22" s="184"/>
      <c r="R22" s="178"/>
      <c r="S22" s="225">
        <v>30</v>
      </c>
      <c r="T22" s="192"/>
      <c r="U22" s="16"/>
      <c r="V22" s="16"/>
      <c r="W22" s="16"/>
      <c r="X22" s="16"/>
    </row>
    <row r="23" spans="1:24" ht="13.15" customHeight="1" x14ac:dyDescent="0.25">
      <c r="A23" s="179">
        <v>31</v>
      </c>
      <c r="B23" s="181"/>
      <c r="C23" s="178"/>
      <c r="D23" s="178"/>
      <c r="E23" s="178"/>
      <c r="F23" s="449"/>
      <c r="G23" s="450"/>
      <c r="H23" s="451"/>
      <c r="I23" s="195"/>
      <c r="J23" s="187" t="s">
        <v>18</v>
      </c>
      <c r="K23" s="202"/>
      <c r="L23" s="446"/>
      <c r="M23" s="447"/>
      <c r="N23" s="448"/>
      <c r="O23" s="178"/>
      <c r="P23" s="178"/>
      <c r="Q23" s="187"/>
      <c r="R23" s="178"/>
      <c r="S23" s="186">
        <v>32</v>
      </c>
      <c r="U23" s="16"/>
      <c r="V23" s="16"/>
      <c r="W23" s="16"/>
      <c r="X23" s="16"/>
    </row>
    <row r="24" spans="1:24" ht="13.15" customHeight="1" x14ac:dyDescent="0.25">
      <c r="A24" s="179">
        <v>33</v>
      </c>
      <c r="B24" s="181"/>
      <c r="C24" s="224"/>
      <c r="D24" s="178"/>
      <c r="E24" s="178"/>
      <c r="F24" s="446"/>
      <c r="G24" s="447"/>
      <c r="H24" s="448"/>
      <c r="I24" s="195"/>
      <c r="J24" s="187" t="s">
        <v>20</v>
      </c>
      <c r="K24" s="202"/>
      <c r="L24" s="446"/>
      <c r="M24" s="447"/>
      <c r="N24" s="448"/>
      <c r="O24" s="178"/>
      <c r="P24" s="178"/>
      <c r="Q24" s="178"/>
      <c r="R24" s="178"/>
      <c r="S24" s="186">
        <v>34</v>
      </c>
      <c r="U24" s="16"/>
      <c r="V24" s="16"/>
      <c r="W24" s="16"/>
      <c r="X24" s="16"/>
    </row>
    <row r="25" spans="1:24" ht="13.15" customHeight="1" x14ac:dyDescent="0.25">
      <c r="A25" s="179">
        <v>35</v>
      </c>
      <c r="B25" s="176"/>
      <c r="C25" s="224"/>
      <c r="D25" s="178"/>
      <c r="E25" s="178"/>
      <c r="F25" s="446"/>
      <c r="G25" s="447"/>
      <c r="H25" s="448"/>
      <c r="I25" s="195"/>
      <c r="J25" s="187" t="s">
        <v>19</v>
      </c>
      <c r="K25" s="195"/>
      <c r="L25" s="446"/>
      <c r="M25" s="447"/>
      <c r="N25" s="448"/>
      <c r="O25" s="178"/>
      <c r="P25" s="178"/>
      <c r="Q25" s="184"/>
      <c r="R25" s="178"/>
      <c r="S25" s="186">
        <v>36</v>
      </c>
      <c r="U25" s="16"/>
      <c r="V25" s="16"/>
      <c r="W25" s="16"/>
      <c r="X25" s="16"/>
    </row>
    <row r="26" spans="1:24" ht="13.15" customHeight="1" x14ac:dyDescent="0.25">
      <c r="A26" s="179">
        <v>37</v>
      </c>
      <c r="B26" s="176"/>
      <c r="C26" s="224"/>
      <c r="D26" s="178"/>
      <c r="E26" s="178"/>
      <c r="F26" s="449"/>
      <c r="G26" s="450"/>
      <c r="H26" s="451"/>
      <c r="I26" s="195"/>
      <c r="J26" s="187" t="s">
        <v>18</v>
      </c>
      <c r="K26" s="202"/>
      <c r="L26" s="446"/>
      <c r="M26" s="447"/>
      <c r="N26" s="448"/>
      <c r="O26" s="178"/>
      <c r="P26" s="178"/>
      <c r="Q26" s="187"/>
      <c r="R26" s="176"/>
      <c r="S26" s="189">
        <v>38</v>
      </c>
      <c r="U26" s="16"/>
      <c r="V26" s="16"/>
      <c r="W26" s="16"/>
      <c r="X26" s="16"/>
    </row>
    <row r="27" spans="1:24" ht="13.15" customHeight="1" x14ac:dyDescent="0.25">
      <c r="A27" s="180">
        <v>39</v>
      </c>
      <c r="B27" s="181"/>
      <c r="C27" s="187"/>
      <c r="D27" s="178"/>
      <c r="E27" s="178"/>
      <c r="F27" s="446"/>
      <c r="G27" s="447"/>
      <c r="H27" s="448"/>
      <c r="I27" s="196"/>
      <c r="J27" s="187" t="s">
        <v>20</v>
      </c>
      <c r="K27" s="202"/>
      <c r="L27" s="446"/>
      <c r="M27" s="447"/>
      <c r="N27" s="448"/>
      <c r="O27" s="178"/>
      <c r="P27" s="178"/>
      <c r="Q27" s="184"/>
      <c r="R27" s="178"/>
      <c r="S27" s="186">
        <v>40</v>
      </c>
      <c r="U27" s="57"/>
      <c r="V27" s="57"/>
      <c r="W27" s="57"/>
      <c r="X27" s="57"/>
    </row>
    <row r="28" spans="1:24" ht="13.15" customHeight="1" thickBot="1" x14ac:dyDescent="0.3">
      <c r="A28" s="182">
        <v>41</v>
      </c>
      <c r="B28" s="281"/>
      <c r="C28" s="191"/>
      <c r="D28" s="183"/>
      <c r="E28" s="183"/>
      <c r="F28" s="570"/>
      <c r="G28" s="571"/>
      <c r="H28" s="572"/>
      <c r="I28" s="282"/>
      <c r="J28" s="191" t="s">
        <v>19</v>
      </c>
      <c r="K28" s="283"/>
      <c r="L28" s="570"/>
      <c r="M28" s="571"/>
      <c r="N28" s="572"/>
      <c r="O28" s="183"/>
      <c r="P28" s="183"/>
      <c r="Q28" s="201"/>
      <c r="R28" s="183"/>
      <c r="S28" s="225">
        <v>42</v>
      </c>
      <c r="U28" s="57"/>
      <c r="V28" s="57"/>
      <c r="W28" s="57"/>
      <c r="X28" s="57"/>
    </row>
    <row r="29" spans="1:24" ht="12.6" customHeight="1" x14ac:dyDescent="0.25">
      <c r="A29" s="205" t="s">
        <v>21</v>
      </c>
      <c r="B29" s="206"/>
      <c r="C29" s="273"/>
      <c r="D29" s="231"/>
      <c r="E29" s="207"/>
      <c r="F29" s="207"/>
      <c r="G29" s="208"/>
      <c r="H29" s="209"/>
      <c r="I29" s="379" t="s">
        <v>22</v>
      </c>
      <c r="J29" s="380"/>
      <c r="K29" s="380"/>
      <c r="L29" s="380"/>
      <c r="M29" s="380"/>
      <c r="N29" s="380"/>
      <c r="O29" s="380"/>
      <c r="P29" s="380"/>
      <c r="Q29" s="380"/>
      <c r="R29" s="380"/>
      <c r="S29" s="381"/>
      <c r="U29" s="57"/>
      <c r="V29" s="57"/>
      <c r="W29" s="57"/>
      <c r="X29" s="57"/>
    </row>
    <row r="30" spans="1:24" ht="13.15" customHeight="1" x14ac:dyDescent="0.25">
      <c r="A30" s="275" t="s">
        <v>23</v>
      </c>
      <c r="B30" s="242"/>
      <c r="C30" s="274"/>
      <c r="D30" s="274"/>
      <c r="E30" s="274"/>
      <c r="F30" s="211">
        <f>SUMIF($J$8:$J$28,"=A",$I$8:$I$28)+SUMIF($J$8:$J$28,"=A",$K$8:$K$28)</f>
        <v>4.6899999999999995</v>
      </c>
      <c r="G30" s="244" t="s">
        <v>24</v>
      </c>
      <c r="H30" s="212"/>
      <c r="I30" s="382" t="s">
        <v>25</v>
      </c>
      <c r="J30" s="383"/>
      <c r="K30" s="383"/>
      <c r="L30" s="384"/>
      <c r="M30" s="214" t="s">
        <v>26</v>
      </c>
      <c r="N30" s="385" t="s">
        <v>27</v>
      </c>
      <c r="O30" s="386"/>
      <c r="P30" s="387"/>
      <c r="Q30" s="204"/>
      <c r="R30" s="204"/>
      <c r="S30" s="215"/>
      <c r="U30" s="57"/>
      <c r="V30" s="57"/>
      <c r="W30" s="57"/>
      <c r="X30" s="57"/>
    </row>
    <row r="31" spans="1:24" ht="13.15" customHeight="1" x14ac:dyDescent="0.25">
      <c r="A31" s="275" t="s">
        <v>28</v>
      </c>
      <c r="B31" s="242"/>
      <c r="C31" s="274"/>
      <c r="D31" s="274"/>
      <c r="E31" s="274"/>
      <c r="F31" s="216">
        <f>SUMIF($J$8:$J$28,"=B",$I$8:$I$28)+SUMIF($J$8:$J$28,"=B",$K$8:$K$28)</f>
        <v>4.4399999999999995</v>
      </c>
      <c r="G31" s="244" t="s">
        <v>24</v>
      </c>
      <c r="H31" s="212"/>
      <c r="I31" s="388" t="s">
        <v>29</v>
      </c>
      <c r="J31" s="389"/>
      <c r="K31" s="389"/>
      <c r="L31" s="390"/>
      <c r="M31" s="217">
        <f>SUMIF($C$8:$C$28,"=C",$I$8:$I$28)+SUMIF($Q$8:$Q$28,"=C",$K$8:$K$28)</f>
        <v>0</v>
      </c>
      <c r="N31" s="391">
        <v>1.25</v>
      </c>
      <c r="O31" s="392"/>
      <c r="P31" s="393"/>
      <c r="Q31" s="394">
        <f>$M31*1.25</f>
        <v>0</v>
      </c>
      <c r="R31" s="395"/>
      <c r="S31" s="396"/>
      <c r="U31" s="57"/>
      <c r="V31" s="57"/>
      <c r="W31" s="57"/>
      <c r="X31" s="57"/>
    </row>
    <row r="32" spans="1:24" ht="13.15" customHeight="1" x14ac:dyDescent="0.25">
      <c r="A32" s="275" t="s">
        <v>30</v>
      </c>
      <c r="B32" s="242"/>
      <c r="C32" s="274"/>
      <c r="D32" s="274"/>
      <c r="E32" s="274"/>
      <c r="F32" s="216">
        <f>SUMIF($J$8:$J$28,"=C",$I$8:$I$28)+SUMIF($J$8:$J$28,"=C",$K$8:$K$28)</f>
        <v>4.6340000000000003</v>
      </c>
      <c r="G32" s="244" t="s">
        <v>24</v>
      </c>
      <c r="H32" s="212"/>
      <c r="I32" s="397" t="s">
        <v>31</v>
      </c>
      <c r="J32" s="398"/>
      <c r="K32" s="398"/>
      <c r="L32" s="399"/>
      <c r="M32" s="218">
        <f>SUMIF($C$8:$C$28,"=D",$I$8:$I$28)+SUMIF($Q$8:$Q$28,"=D",$K$8:$K$28)</f>
        <v>8.4939999999999998</v>
      </c>
      <c r="N32" s="400">
        <v>1</v>
      </c>
      <c r="O32" s="401"/>
      <c r="P32" s="402"/>
      <c r="Q32" s="403">
        <f>$M32</f>
        <v>8.4939999999999998</v>
      </c>
      <c r="R32" s="404"/>
      <c r="S32" s="405"/>
      <c r="U32" s="57"/>
      <c r="V32" s="57"/>
      <c r="W32" s="57"/>
      <c r="X32" s="57"/>
    </row>
    <row r="33" spans="1:24" ht="13.15" customHeight="1" x14ac:dyDescent="0.25">
      <c r="A33" s="275" t="s">
        <v>32</v>
      </c>
      <c r="B33" s="242"/>
      <c r="C33" s="274"/>
      <c r="D33" s="274"/>
      <c r="E33" s="274"/>
      <c r="F33" s="216">
        <f>SUM(F30:F32)</f>
        <v>13.763999999999999</v>
      </c>
      <c r="G33" s="244" t="s">
        <v>24</v>
      </c>
      <c r="H33" s="212"/>
      <c r="I33" s="397" t="s">
        <v>33</v>
      </c>
      <c r="J33" s="398"/>
      <c r="K33" s="398"/>
      <c r="L33" s="399"/>
      <c r="M33" s="218">
        <f>SUMIF($C$8:$C$28,"=G",$I$8:$I$28)+SUMIF($Q$8:$Q$28,"=G",$K$8:$K$28)</f>
        <v>5.27</v>
      </c>
      <c r="N33" s="406" t="s">
        <v>37</v>
      </c>
      <c r="O33" s="407"/>
      <c r="P33" s="408"/>
      <c r="Q33" s="403">
        <f>IF($M33&gt;10,10+($M33-10)*0.5,$M33)</f>
        <v>5.27</v>
      </c>
      <c r="R33" s="404"/>
      <c r="S33" s="405"/>
      <c r="U33" s="57"/>
      <c r="V33" s="57"/>
      <c r="W33" s="57"/>
      <c r="X33" s="57"/>
    </row>
    <row r="34" spans="1:24" ht="14.1" customHeight="1" x14ac:dyDescent="0.25">
      <c r="A34" s="219"/>
      <c r="B34" s="243"/>
      <c r="C34" s="243"/>
      <c r="D34" s="243"/>
      <c r="E34" s="243"/>
      <c r="F34" s="243"/>
      <c r="G34" s="244"/>
      <c r="H34" s="212"/>
      <c r="I34" s="397" t="s">
        <v>34</v>
      </c>
      <c r="J34" s="398"/>
      <c r="K34" s="398"/>
      <c r="L34" s="399"/>
      <c r="M34" s="218">
        <f>SUMIF($C$8:$C$28,"=K",$I$8:$I$28)+SUMIF($Q$8:$Q$28,"=K",$K$8:$K$28)</f>
        <v>0</v>
      </c>
      <c r="N34" s="400">
        <v>0.65</v>
      </c>
      <c r="O34" s="401"/>
      <c r="P34" s="402"/>
      <c r="Q34" s="403">
        <f>M34*(U13*U14*U15*U16)</f>
        <v>0</v>
      </c>
      <c r="R34" s="404"/>
      <c r="S34" s="405"/>
      <c r="U34" s="57"/>
      <c r="V34" s="57"/>
      <c r="W34" s="57"/>
      <c r="X34" s="57"/>
    </row>
    <row r="35" spans="1:24" ht="14.1" customHeight="1" x14ac:dyDescent="0.25">
      <c r="A35" s="210"/>
      <c r="B35" s="243"/>
      <c r="C35" s="243"/>
      <c r="D35" s="243"/>
      <c r="E35" s="243"/>
      <c r="F35" s="243"/>
      <c r="G35" s="244"/>
      <c r="H35" s="212"/>
      <c r="I35" s="409" t="s">
        <v>47</v>
      </c>
      <c r="J35" s="410"/>
      <c r="K35" s="410"/>
      <c r="L35" s="411"/>
      <c r="M35" s="221">
        <f>SUM(U9:U10)</f>
        <v>0</v>
      </c>
      <c r="N35" s="412" t="s">
        <v>36</v>
      </c>
      <c r="O35" s="413"/>
      <c r="P35" s="414"/>
      <c r="Q35" s="415">
        <f>U9+U10*1.25</f>
        <v>0</v>
      </c>
      <c r="R35" s="416"/>
      <c r="S35" s="417"/>
      <c r="U35" s="57"/>
      <c r="V35" s="57"/>
      <c r="W35" s="57"/>
      <c r="X35" s="57"/>
    </row>
    <row r="36" spans="1:24" ht="14.1" customHeight="1" thickBot="1" x14ac:dyDescent="0.3">
      <c r="A36" s="210"/>
      <c r="B36" s="243"/>
      <c r="C36" s="242"/>
      <c r="D36" s="243"/>
      <c r="E36" s="243"/>
      <c r="F36" s="243"/>
      <c r="G36" s="244"/>
      <c r="H36" s="242"/>
      <c r="I36" s="242"/>
      <c r="J36" s="242"/>
      <c r="K36" s="242"/>
      <c r="L36" s="242"/>
      <c r="M36" s="243"/>
      <c r="N36" s="418" t="s">
        <v>35</v>
      </c>
      <c r="O36" s="418"/>
      <c r="P36" s="418"/>
      <c r="Q36" s="419">
        <f>SUM(Q31:S35)</f>
        <v>13.763999999999999</v>
      </c>
      <c r="R36" s="419"/>
      <c r="S36" s="420"/>
      <c r="U36" s="57"/>
      <c r="V36" s="57"/>
      <c r="W36" s="57"/>
      <c r="X36" s="57"/>
    </row>
    <row r="37" spans="1:24" ht="14.1" customHeight="1" thickBot="1" x14ac:dyDescent="0.3">
      <c r="A37" s="210"/>
      <c r="B37" s="243"/>
      <c r="C37" s="242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407" t="s">
        <v>60</v>
      </c>
      <c r="O37" s="407"/>
      <c r="P37" s="421"/>
      <c r="Q37" s="422">
        <f>Q36/0.36</f>
        <v>38.233333333333334</v>
      </c>
      <c r="R37" s="423"/>
      <c r="S37" s="424"/>
      <c r="U37" s="57"/>
      <c r="V37" s="57"/>
      <c r="W37" s="57"/>
      <c r="X37" s="57"/>
    </row>
    <row r="38" spans="1:24" ht="14.1" customHeight="1" thickBot="1" x14ac:dyDescent="0.3">
      <c r="A38" s="108"/>
      <c r="B38" s="19"/>
      <c r="C38" s="92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19"/>
      <c r="P38" s="19"/>
      <c r="Q38" s="19"/>
      <c r="R38" s="19"/>
      <c r="S38" s="21"/>
      <c r="U38" s="57"/>
      <c r="V38" s="57"/>
      <c r="W38" s="57"/>
      <c r="X38" s="57"/>
    </row>
    <row r="39" spans="1:24" ht="14.1" customHeight="1" x14ac:dyDescent="0.25">
      <c r="H39" s="2"/>
      <c r="I39" s="2"/>
      <c r="U39" s="57"/>
      <c r="V39" s="57"/>
      <c r="W39" s="57"/>
      <c r="X39" s="57"/>
    </row>
    <row r="40" spans="1:24" ht="14.1" customHeight="1" x14ac:dyDescent="0.25">
      <c r="H40" s="2"/>
      <c r="I40" s="2"/>
      <c r="O40" s="57"/>
      <c r="P40" s="57"/>
      <c r="Q40" s="1"/>
      <c r="R40" s="1"/>
      <c r="S40" s="1"/>
      <c r="T40" s="1"/>
    </row>
    <row r="41" spans="1:24" ht="14.1" customHeight="1" x14ac:dyDescent="0.25">
      <c r="H41" s="2"/>
      <c r="I41" s="2"/>
      <c r="P41" s="1"/>
      <c r="Q41" s="1"/>
      <c r="R41" s="1"/>
      <c r="S41" s="1"/>
      <c r="T41" s="1"/>
    </row>
    <row r="42" spans="1:24" ht="14.1" customHeight="1" x14ac:dyDescent="0.25">
      <c r="P42" s="1"/>
      <c r="Q42" s="1"/>
      <c r="R42" s="1"/>
      <c r="S42" s="1"/>
      <c r="T42" s="1"/>
    </row>
    <row r="44" spans="1:24" ht="14.1" customHeight="1" x14ac:dyDescent="0.25">
      <c r="A44" s="93"/>
      <c r="B44" s="93"/>
      <c r="C44" s="93"/>
      <c r="D44" s="93"/>
      <c r="E44" s="93"/>
      <c r="F44" s="94"/>
      <c r="G44" s="95"/>
      <c r="H44" s="95"/>
      <c r="I44" s="96"/>
    </row>
    <row r="46" spans="1:24" ht="14.1" customHeight="1" x14ac:dyDescent="0.25">
      <c r="K46" s="222"/>
      <c r="L46" s="425"/>
      <c r="M46" s="425"/>
      <c r="N46" s="425"/>
    </row>
  </sheetData>
  <mergeCells count="79">
    <mergeCell ref="N36:P36"/>
    <mergeCell ref="Q36:S36"/>
    <mergeCell ref="N37:P37"/>
    <mergeCell ref="Q37:S37"/>
    <mergeCell ref="L46:N46"/>
    <mergeCell ref="I34:L34"/>
    <mergeCell ref="N34:P34"/>
    <mergeCell ref="Q34:S34"/>
    <mergeCell ref="I35:L35"/>
    <mergeCell ref="N35:P35"/>
    <mergeCell ref="Q35:S35"/>
    <mergeCell ref="I32:L32"/>
    <mergeCell ref="N32:P32"/>
    <mergeCell ref="Q32:S32"/>
    <mergeCell ref="I33:L33"/>
    <mergeCell ref="N33:P33"/>
    <mergeCell ref="Q33:S33"/>
    <mergeCell ref="F28:H28"/>
    <mergeCell ref="L28:N28"/>
    <mergeCell ref="I29:S29"/>
    <mergeCell ref="I30:L30"/>
    <mergeCell ref="N30:P30"/>
    <mergeCell ref="I31:L31"/>
    <mergeCell ref="N31:P31"/>
    <mergeCell ref="Q31:S31"/>
    <mergeCell ref="F25:H25"/>
    <mergeCell ref="L25:N25"/>
    <mergeCell ref="F26:H26"/>
    <mergeCell ref="L26:N26"/>
    <mergeCell ref="F27:H27"/>
    <mergeCell ref="L27:N27"/>
    <mergeCell ref="F22:H22"/>
    <mergeCell ref="L22:N22"/>
    <mergeCell ref="F23:H23"/>
    <mergeCell ref="L23:N23"/>
    <mergeCell ref="F24:H24"/>
    <mergeCell ref="L24:N24"/>
    <mergeCell ref="F19:H19"/>
    <mergeCell ref="L19:N19"/>
    <mergeCell ref="F20:H20"/>
    <mergeCell ref="L20:N20"/>
    <mergeCell ref="F21:H21"/>
    <mergeCell ref="L21:N21"/>
    <mergeCell ref="F16:H16"/>
    <mergeCell ref="L16:N16"/>
    <mergeCell ref="F17:H17"/>
    <mergeCell ref="L17:N17"/>
    <mergeCell ref="F18:H18"/>
    <mergeCell ref="L18:N18"/>
    <mergeCell ref="F13:H13"/>
    <mergeCell ref="L13:N13"/>
    <mergeCell ref="F14:H14"/>
    <mergeCell ref="L14:N14"/>
    <mergeCell ref="F15:H15"/>
    <mergeCell ref="L15:N15"/>
    <mergeCell ref="F10:H10"/>
    <mergeCell ref="L10:N10"/>
    <mergeCell ref="F11:H11"/>
    <mergeCell ref="L11:N11"/>
    <mergeCell ref="F12:H12"/>
    <mergeCell ref="L12:N12"/>
    <mergeCell ref="R6:R7"/>
    <mergeCell ref="S6:S7"/>
    <mergeCell ref="F8:H8"/>
    <mergeCell ref="L8:N8"/>
    <mergeCell ref="F9:H9"/>
    <mergeCell ref="L9:N9"/>
    <mergeCell ref="I6:I7"/>
    <mergeCell ref="J6:J7"/>
    <mergeCell ref="K6:K7"/>
    <mergeCell ref="L6:N7"/>
    <mergeCell ref="O6:P6"/>
    <mergeCell ref="Q6:Q7"/>
    <mergeCell ref="A3:E5"/>
    <mergeCell ref="A6:A7"/>
    <mergeCell ref="B6:B7"/>
    <mergeCell ref="C6:C7"/>
    <mergeCell ref="D6:E6"/>
    <mergeCell ref="F6:H7"/>
  </mergeCells>
  <pageMargins left="0.5" right="0.5" top="0.5" bottom="0.5" header="0.5" footer="0.5"/>
  <pageSetup scale="96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FE70-2D5F-41F9-8C97-9D21CD09B7C1}">
  <sheetPr codeName="Sheet7">
    <tabColor rgb="FFFFC000"/>
  </sheetPr>
  <dimension ref="A1:V44"/>
  <sheetViews>
    <sheetView showGridLines="0" zoomScale="115" zoomScaleNormal="115" workbookViewId="0">
      <selection activeCell="F11" sqref="F11:H11"/>
    </sheetView>
  </sheetViews>
  <sheetFormatPr defaultColWidth="9.28515625" defaultRowHeight="14.1" customHeight="1" x14ac:dyDescent="0.25"/>
  <cols>
    <col min="1" max="1" width="4" style="1" customWidth="1"/>
    <col min="2" max="2" width="4" style="2" customWidth="1"/>
    <col min="3" max="3" width="3.7109375" style="2" customWidth="1"/>
    <col min="4" max="5" width="3.28515625" style="2" customWidth="1"/>
    <col min="6" max="6" width="17.28515625" style="2" customWidth="1"/>
    <col min="7" max="7" width="18.7109375" style="2" customWidth="1"/>
    <col min="8" max="8" width="1.7109375" style="1" customWidth="1"/>
    <col min="9" max="9" width="6.7109375" style="1" customWidth="1"/>
    <col min="10" max="10" width="4" style="2" customWidth="1"/>
    <col min="11" max="11" width="6.7109375" style="2" customWidth="1"/>
    <col min="12" max="12" width="3.5703125" style="2" customWidth="1"/>
    <col min="13" max="13" width="9.5703125" style="2" customWidth="1"/>
    <col min="14" max="14" width="25.7109375" style="2" customWidth="1"/>
    <col min="15" max="15" width="3.28515625" style="1" customWidth="1"/>
    <col min="16" max="16" width="3.7109375" style="2" customWidth="1"/>
    <col min="17" max="17" width="3" style="2" bestFit="1" customWidth="1"/>
    <col min="18" max="18" width="4" style="2" customWidth="1"/>
    <col min="19" max="19" width="3.7109375" style="2" customWidth="1"/>
    <col min="20" max="20" width="3.28515625" style="2" customWidth="1"/>
    <col min="21" max="21" width="0" style="1" hidden="1" customWidth="1"/>
    <col min="22" max="16384" width="9.28515625" style="1"/>
  </cols>
  <sheetData>
    <row r="1" spans="1:22" ht="14.1" customHeight="1" thickBot="1" x14ac:dyDescent="0.3"/>
    <row r="2" spans="1:22" ht="14.1" customHeight="1" x14ac:dyDescent="0.25">
      <c r="A2" s="3"/>
      <c r="B2" s="4"/>
      <c r="C2" s="4"/>
      <c r="D2" s="4"/>
      <c r="E2" s="4"/>
      <c r="F2" s="5" t="s">
        <v>0</v>
      </c>
      <c r="G2" s="6" t="s">
        <v>48</v>
      </c>
      <c r="H2" s="7"/>
      <c r="I2" s="5" t="s">
        <v>1</v>
      </c>
      <c r="J2" s="5"/>
      <c r="K2" s="6">
        <v>3</v>
      </c>
      <c r="L2" s="8"/>
      <c r="M2" s="5" t="s">
        <v>2</v>
      </c>
      <c r="N2" s="6" t="s">
        <v>64</v>
      </c>
      <c r="O2" s="8"/>
      <c r="P2" s="9" t="s">
        <v>3</v>
      </c>
      <c r="Q2" s="9"/>
      <c r="R2" s="9"/>
      <c r="S2" s="10"/>
    </row>
    <row r="3" spans="1:22" ht="16.149999999999999" customHeight="1" x14ac:dyDescent="0.25">
      <c r="A3" s="97" t="s">
        <v>63</v>
      </c>
      <c r="B3" s="98"/>
      <c r="C3" s="98"/>
      <c r="D3" s="98"/>
      <c r="E3" s="98"/>
      <c r="F3" s="11" t="s">
        <v>4</v>
      </c>
      <c r="G3" s="14" t="s">
        <v>42</v>
      </c>
      <c r="H3" s="2"/>
      <c r="I3" s="11" t="s">
        <v>5</v>
      </c>
      <c r="J3" s="11"/>
      <c r="K3" s="12">
        <v>1</v>
      </c>
      <c r="M3" s="11" t="s">
        <v>6</v>
      </c>
      <c r="N3" s="103">
        <v>10000</v>
      </c>
      <c r="O3" s="2"/>
      <c r="P3" s="13"/>
      <c r="Q3" s="14"/>
      <c r="R3" s="14"/>
      <c r="S3" s="15"/>
    </row>
    <row r="4" spans="1:22" ht="14.1" customHeight="1" x14ac:dyDescent="0.25">
      <c r="A4" s="80"/>
      <c r="F4" s="11" t="s">
        <v>7</v>
      </c>
      <c r="G4" s="99" t="s">
        <v>70</v>
      </c>
      <c r="H4" s="2"/>
      <c r="I4" s="11" t="s">
        <v>8</v>
      </c>
      <c r="J4" s="11"/>
      <c r="K4" s="12"/>
      <c r="M4" s="11" t="s">
        <v>9</v>
      </c>
      <c r="N4" s="99" t="s">
        <v>44</v>
      </c>
      <c r="O4" s="2"/>
      <c r="P4" s="17"/>
      <c r="Q4" s="12"/>
      <c r="R4" s="12"/>
      <c r="S4" s="18"/>
    </row>
    <row r="5" spans="1:22" ht="6" customHeight="1" thickBot="1" x14ac:dyDescent="0.3">
      <c r="A5" s="91"/>
      <c r="B5" s="19"/>
      <c r="C5" s="19"/>
      <c r="D5" s="19"/>
      <c r="E5" s="19"/>
      <c r="F5" s="19"/>
      <c r="G5" s="20"/>
      <c r="H5" s="20"/>
      <c r="I5" s="19"/>
      <c r="J5" s="19"/>
      <c r="K5" s="19"/>
      <c r="L5" s="19"/>
      <c r="M5" s="19"/>
      <c r="N5" s="20"/>
      <c r="O5" s="19"/>
      <c r="P5" s="19"/>
      <c r="Q5" s="19"/>
      <c r="R5" s="19"/>
      <c r="S5" s="21"/>
    </row>
    <row r="6" spans="1:22" ht="31.15" customHeight="1" x14ac:dyDescent="0.25">
      <c r="A6" s="22" t="s">
        <v>39</v>
      </c>
      <c r="B6" s="23" t="s">
        <v>10</v>
      </c>
      <c r="C6" s="24" t="s">
        <v>11</v>
      </c>
      <c r="D6" s="25" t="s">
        <v>12</v>
      </c>
      <c r="E6" s="26"/>
      <c r="F6" s="27" t="s">
        <v>38</v>
      </c>
      <c r="G6" s="28"/>
      <c r="H6" s="29"/>
      <c r="I6" s="30" t="s">
        <v>14</v>
      </c>
      <c r="J6" s="24" t="s">
        <v>15</v>
      </c>
      <c r="K6" s="31" t="s">
        <v>14</v>
      </c>
      <c r="L6" s="28"/>
      <c r="M6" s="27" t="s">
        <v>13</v>
      </c>
      <c r="N6" s="28"/>
      <c r="O6" s="25" t="s">
        <v>12</v>
      </c>
      <c r="P6" s="26"/>
      <c r="Q6" s="23" t="s">
        <v>11</v>
      </c>
      <c r="R6" s="24" t="s">
        <v>10</v>
      </c>
      <c r="S6" s="32" t="s">
        <v>39</v>
      </c>
      <c r="U6" s="16"/>
      <c r="V6" s="16"/>
    </row>
    <row r="7" spans="1:22" ht="13.9" customHeight="1" thickBot="1" x14ac:dyDescent="0.3">
      <c r="A7" s="33"/>
      <c r="B7" s="34"/>
      <c r="C7" s="35"/>
      <c r="D7" s="36" t="s">
        <v>16</v>
      </c>
      <c r="E7" s="37" t="s">
        <v>17</v>
      </c>
      <c r="F7" s="38"/>
      <c r="G7" s="39"/>
      <c r="H7" s="40"/>
      <c r="I7" s="41"/>
      <c r="J7" s="35"/>
      <c r="K7" s="42"/>
      <c r="L7" s="38"/>
      <c r="M7" s="39"/>
      <c r="N7" s="43"/>
      <c r="O7" s="36" t="s">
        <v>16</v>
      </c>
      <c r="P7" s="37" t="s">
        <v>17</v>
      </c>
      <c r="Q7" s="34"/>
      <c r="R7" s="35"/>
      <c r="S7" s="44"/>
      <c r="U7" s="16"/>
      <c r="V7" s="16"/>
    </row>
    <row r="8" spans="1:22" ht="13.15" customHeight="1" x14ac:dyDescent="0.25">
      <c r="A8" s="45">
        <v>1</v>
      </c>
      <c r="B8" s="168"/>
      <c r="C8" s="56" t="s">
        <v>65</v>
      </c>
      <c r="D8" s="56">
        <v>1</v>
      </c>
      <c r="E8" s="56">
        <v>20</v>
      </c>
      <c r="F8" s="588" t="s">
        <v>67</v>
      </c>
      <c r="G8" s="589"/>
      <c r="H8" s="590"/>
      <c r="I8" s="53">
        <f>0.36</f>
        <v>0.36</v>
      </c>
      <c r="J8" s="46" t="s">
        <v>18</v>
      </c>
      <c r="K8" s="104"/>
      <c r="L8" s="588" t="s">
        <v>62</v>
      </c>
      <c r="M8" s="589"/>
      <c r="N8" s="590"/>
      <c r="O8" s="52">
        <v>1</v>
      </c>
      <c r="P8" s="52">
        <v>20</v>
      </c>
      <c r="Q8" s="49"/>
      <c r="R8" s="56"/>
      <c r="S8" s="173">
        <v>2</v>
      </c>
      <c r="U8" s="16"/>
      <c r="V8" s="16"/>
    </row>
    <row r="9" spans="1:22" ht="13.15" customHeight="1" x14ac:dyDescent="0.25">
      <c r="A9" s="47">
        <v>3</v>
      </c>
      <c r="B9" s="169"/>
      <c r="C9" s="56" t="s">
        <v>65</v>
      </c>
      <c r="D9" s="52">
        <v>1</v>
      </c>
      <c r="E9" s="52">
        <v>20</v>
      </c>
      <c r="F9" s="588" t="s">
        <v>68</v>
      </c>
      <c r="G9" s="589"/>
      <c r="H9" s="590"/>
      <c r="I9" s="53">
        <f>0.36</f>
        <v>0.36</v>
      </c>
      <c r="J9" s="48" t="s">
        <v>20</v>
      </c>
      <c r="K9" s="170"/>
      <c r="L9" s="588" t="s">
        <v>62</v>
      </c>
      <c r="M9" s="589"/>
      <c r="N9" s="590"/>
      <c r="O9" s="109">
        <v>1</v>
      </c>
      <c r="P9" s="109">
        <v>20</v>
      </c>
      <c r="Q9" s="172"/>
      <c r="R9" s="109"/>
      <c r="S9" s="171">
        <v>4</v>
      </c>
      <c r="U9" s="51">
        <f>SUMIF($C$8:$C$28,"=M",$I$8:$I$28)+SUMIF($Q$8:$Q$28,"=M",$K$8:$K$28)</f>
        <v>0</v>
      </c>
      <c r="V9" s="16"/>
    </row>
    <row r="10" spans="1:22" ht="13.15" customHeight="1" x14ac:dyDescent="0.25">
      <c r="A10" s="47">
        <v>5</v>
      </c>
      <c r="B10" s="56"/>
      <c r="C10" s="56" t="s">
        <v>40</v>
      </c>
      <c r="D10" s="52">
        <v>1</v>
      </c>
      <c r="E10" s="52">
        <v>20</v>
      </c>
      <c r="F10" s="588" t="s">
        <v>69</v>
      </c>
      <c r="G10" s="589"/>
      <c r="H10" s="590"/>
      <c r="I10" s="53">
        <v>1</v>
      </c>
      <c r="J10" s="48" t="s">
        <v>18</v>
      </c>
      <c r="K10" s="53"/>
      <c r="L10" s="588" t="s">
        <v>62</v>
      </c>
      <c r="M10" s="589"/>
      <c r="N10" s="590"/>
      <c r="O10" s="52">
        <v>1</v>
      </c>
      <c r="P10" s="52">
        <v>20</v>
      </c>
      <c r="Q10" s="49"/>
      <c r="R10" s="52"/>
      <c r="S10" s="171">
        <v>6</v>
      </c>
      <c r="U10" s="51">
        <f>SUMIF($C$8:$C$28,"=ML",$I$8:$I$28)+SUMIF($Q$8:$Q$28,"=ML",$K$8:$K$28)</f>
        <v>0</v>
      </c>
      <c r="V10" s="16"/>
    </row>
    <row r="11" spans="1:22" ht="13.15" customHeight="1" x14ac:dyDescent="0.25">
      <c r="A11" s="47">
        <v>7</v>
      </c>
      <c r="B11" s="169"/>
      <c r="C11" s="52"/>
      <c r="D11" s="52"/>
      <c r="E11" s="52"/>
      <c r="F11" s="588" t="s">
        <v>66</v>
      </c>
      <c r="G11" s="589"/>
      <c r="H11" s="590"/>
      <c r="I11" s="110"/>
      <c r="J11" s="48" t="s">
        <v>20</v>
      </c>
      <c r="K11" s="104"/>
      <c r="L11" s="588" t="s">
        <v>66</v>
      </c>
      <c r="M11" s="589"/>
      <c r="N11" s="590"/>
      <c r="O11" s="52"/>
      <c r="P11" s="52"/>
      <c r="Q11" s="49"/>
      <c r="R11" s="56"/>
      <c r="S11" s="171">
        <v>8</v>
      </c>
      <c r="U11" s="16">
        <f>SUMIF($C$8:$C$28,"=K",$I$8:$I$28)+SUMIF($Q$8:$Q$28,"=K",$K$8:$K$28)</f>
        <v>0</v>
      </c>
      <c r="V11" s="16"/>
    </row>
    <row r="12" spans="1:22" ht="13.15" customHeight="1" x14ac:dyDescent="0.25">
      <c r="A12" s="47">
        <v>9</v>
      </c>
      <c r="B12" s="52"/>
      <c r="C12" s="52"/>
      <c r="D12" s="52"/>
      <c r="E12" s="109"/>
      <c r="F12" s="588" t="s">
        <v>66</v>
      </c>
      <c r="G12" s="589"/>
      <c r="H12" s="590"/>
      <c r="I12" s="170"/>
      <c r="J12" s="48" t="s">
        <v>18</v>
      </c>
      <c r="K12" s="104">
        <f>1*0.208/2</f>
        <v>0.104</v>
      </c>
      <c r="L12" s="588" t="s">
        <v>72</v>
      </c>
      <c r="M12" s="589"/>
      <c r="N12" s="590"/>
      <c r="O12" s="52">
        <v>2</v>
      </c>
      <c r="P12" s="52">
        <v>150</v>
      </c>
      <c r="Q12" s="49" t="s">
        <v>40</v>
      </c>
      <c r="R12" s="52"/>
      <c r="S12" s="171">
        <v>10</v>
      </c>
      <c r="U12" s="16">
        <f>SUMIF($C$8:$C$28,"=KL",$I$8:$I$28)+SUMIF($Q$8:$Q$28,"=KL",$K$8:$K$28)</f>
        <v>0</v>
      </c>
      <c r="V12" s="16"/>
    </row>
    <row r="13" spans="1:22" ht="13.15" customHeight="1" thickBot="1" x14ac:dyDescent="0.3">
      <c r="A13" s="47">
        <v>11</v>
      </c>
      <c r="B13" s="111"/>
      <c r="C13" s="52"/>
      <c r="D13" s="52"/>
      <c r="E13" s="52"/>
      <c r="F13" s="588" t="s">
        <v>66</v>
      </c>
      <c r="G13" s="589"/>
      <c r="H13" s="590"/>
      <c r="I13" s="53"/>
      <c r="J13" s="48" t="s">
        <v>20</v>
      </c>
      <c r="K13" s="104">
        <f>K12</f>
        <v>0.104</v>
      </c>
      <c r="L13" s="588" t="s">
        <v>61</v>
      </c>
      <c r="M13" s="589"/>
      <c r="N13" s="590"/>
      <c r="O13" s="52" t="s">
        <v>41</v>
      </c>
      <c r="P13" s="52" t="s">
        <v>41</v>
      </c>
      <c r="Q13" s="49" t="s">
        <v>40</v>
      </c>
      <c r="R13" s="52"/>
      <c r="S13" s="171">
        <v>12</v>
      </c>
      <c r="U13" s="16">
        <f>IF(N34=90%,0.9,1)</f>
        <v>1</v>
      </c>
      <c r="V13" s="16"/>
    </row>
    <row r="14" spans="1:22" ht="13.15" hidden="1" customHeight="1" x14ac:dyDescent="0.25">
      <c r="A14" s="156">
        <v>13</v>
      </c>
      <c r="B14" s="158"/>
      <c r="C14" s="106"/>
      <c r="D14" s="106">
        <v>1</v>
      </c>
      <c r="E14" s="106">
        <v>20</v>
      </c>
      <c r="F14" s="582"/>
      <c r="G14" s="583"/>
      <c r="H14" s="584"/>
      <c r="I14" s="153"/>
      <c r="J14" s="48" t="s">
        <v>18</v>
      </c>
      <c r="K14" s="105"/>
      <c r="L14" s="582"/>
      <c r="M14" s="583"/>
      <c r="N14" s="584"/>
      <c r="O14" s="106">
        <v>1</v>
      </c>
      <c r="P14" s="106">
        <v>20</v>
      </c>
      <c r="Q14" s="107"/>
      <c r="R14" s="106"/>
      <c r="S14" s="164">
        <v>14</v>
      </c>
      <c r="U14" s="16">
        <f>IF(N34=80%,0.8,1)</f>
        <v>1</v>
      </c>
      <c r="V14" s="16"/>
    </row>
    <row r="15" spans="1:22" ht="13.15" hidden="1" customHeight="1" x14ac:dyDescent="0.25">
      <c r="A15" s="160">
        <v>15</v>
      </c>
      <c r="B15" s="158"/>
      <c r="C15" s="106"/>
      <c r="D15" s="106">
        <v>1</v>
      </c>
      <c r="E15" s="106">
        <v>20</v>
      </c>
      <c r="F15" s="582"/>
      <c r="G15" s="583"/>
      <c r="H15" s="584"/>
      <c r="I15" s="153"/>
      <c r="J15" s="54" t="s">
        <v>20</v>
      </c>
      <c r="K15" s="105"/>
      <c r="L15" s="582"/>
      <c r="M15" s="583"/>
      <c r="N15" s="584"/>
      <c r="O15" s="106">
        <v>1</v>
      </c>
      <c r="P15" s="106">
        <v>20</v>
      </c>
      <c r="Q15" s="107"/>
      <c r="R15" s="106"/>
      <c r="S15" s="164">
        <v>16</v>
      </c>
      <c r="U15" s="16">
        <f>IF(N34=70%,0.7,1)</f>
        <v>1</v>
      </c>
      <c r="V15" s="16"/>
    </row>
    <row r="16" spans="1:22" ht="13.15" hidden="1" customHeight="1" x14ac:dyDescent="0.25">
      <c r="A16" s="156">
        <v>17</v>
      </c>
      <c r="B16" s="158"/>
      <c r="C16" s="106"/>
      <c r="D16" s="106">
        <v>1</v>
      </c>
      <c r="E16" s="106">
        <v>20</v>
      </c>
      <c r="F16" s="582"/>
      <c r="G16" s="583"/>
      <c r="H16" s="584"/>
      <c r="I16" s="153"/>
      <c r="J16" s="48" t="s">
        <v>19</v>
      </c>
      <c r="K16" s="105"/>
      <c r="L16" s="582"/>
      <c r="M16" s="583"/>
      <c r="N16" s="584"/>
      <c r="O16" s="106">
        <v>1</v>
      </c>
      <c r="P16" s="106">
        <v>20</v>
      </c>
      <c r="Q16" s="107"/>
      <c r="R16" s="106"/>
      <c r="S16" s="164">
        <v>18</v>
      </c>
      <c r="U16" s="16">
        <f>IF(N34=65%,0.65,1)</f>
        <v>0.65</v>
      </c>
      <c r="V16" s="16"/>
    </row>
    <row r="17" spans="1:22" ht="13.15" hidden="1" customHeight="1" x14ac:dyDescent="0.25">
      <c r="A17" s="161">
        <v>19</v>
      </c>
      <c r="B17" s="152"/>
      <c r="C17" s="106"/>
      <c r="D17" s="106">
        <v>1</v>
      </c>
      <c r="E17" s="106">
        <v>20</v>
      </c>
      <c r="F17" s="582"/>
      <c r="G17" s="583"/>
      <c r="H17" s="584"/>
      <c r="I17" s="153"/>
      <c r="J17" s="102" t="s">
        <v>18</v>
      </c>
      <c r="K17" s="105"/>
      <c r="L17" s="582"/>
      <c r="M17" s="583"/>
      <c r="N17" s="584"/>
      <c r="O17" s="106">
        <v>1</v>
      </c>
      <c r="P17" s="106">
        <v>20</v>
      </c>
      <c r="Q17" s="107"/>
      <c r="R17" s="106"/>
      <c r="S17" s="164">
        <v>20</v>
      </c>
      <c r="U17" s="16"/>
      <c r="V17" s="16"/>
    </row>
    <row r="18" spans="1:22" ht="13.15" hidden="1" customHeight="1" x14ac:dyDescent="0.25">
      <c r="A18" s="156">
        <v>21</v>
      </c>
      <c r="B18" s="152"/>
      <c r="C18" s="106"/>
      <c r="D18" s="106">
        <v>1</v>
      </c>
      <c r="E18" s="106">
        <v>20</v>
      </c>
      <c r="F18" s="582"/>
      <c r="G18" s="583"/>
      <c r="H18" s="584"/>
      <c r="I18" s="153"/>
      <c r="J18" s="48" t="s">
        <v>20</v>
      </c>
      <c r="K18" s="105"/>
      <c r="L18" s="582"/>
      <c r="M18" s="583"/>
      <c r="N18" s="584"/>
      <c r="O18" s="106">
        <v>1</v>
      </c>
      <c r="P18" s="106">
        <v>20</v>
      </c>
      <c r="Q18" s="107"/>
      <c r="R18" s="106"/>
      <c r="S18" s="164">
        <v>22</v>
      </c>
      <c r="U18" s="16"/>
      <c r="V18" s="16"/>
    </row>
    <row r="19" spans="1:22" ht="13.15" hidden="1" customHeight="1" x14ac:dyDescent="0.25">
      <c r="A19" s="156">
        <v>23</v>
      </c>
      <c r="B19" s="152"/>
      <c r="C19" s="106"/>
      <c r="D19" s="106">
        <v>1</v>
      </c>
      <c r="E19" s="106">
        <v>20</v>
      </c>
      <c r="F19" s="582"/>
      <c r="G19" s="583"/>
      <c r="H19" s="584"/>
      <c r="I19" s="153"/>
      <c r="J19" s="48" t="s">
        <v>19</v>
      </c>
      <c r="K19" s="105"/>
      <c r="L19" s="582"/>
      <c r="M19" s="583"/>
      <c r="N19" s="584"/>
      <c r="O19" s="106">
        <v>1</v>
      </c>
      <c r="P19" s="106">
        <v>20</v>
      </c>
      <c r="Q19" s="107"/>
      <c r="R19" s="106"/>
      <c r="S19" s="164">
        <v>24</v>
      </c>
      <c r="U19" s="16"/>
      <c r="V19" s="16"/>
    </row>
    <row r="20" spans="1:22" ht="13.15" hidden="1" customHeight="1" x14ac:dyDescent="0.25">
      <c r="A20" s="160">
        <v>25</v>
      </c>
      <c r="B20" s="152"/>
      <c r="C20" s="106"/>
      <c r="D20" s="106">
        <v>1</v>
      </c>
      <c r="E20" s="106">
        <v>20</v>
      </c>
      <c r="F20" s="582"/>
      <c r="G20" s="583"/>
      <c r="H20" s="584"/>
      <c r="I20" s="153"/>
      <c r="J20" s="48" t="s">
        <v>18</v>
      </c>
      <c r="K20" s="159"/>
      <c r="L20" s="582"/>
      <c r="M20" s="583"/>
      <c r="N20" s="584"/>
      <c r="O20" s="124">
        <v>1</v>
      </c>
      <c r="P20" s="124">
        <v>20</v>
      </c>
      <c r="Q20" s="163"/>
      <c r="R20" s="124"/>
      <c r="S20" s="164">
        <v>26</v>
      </c>
      <c r="U20" s="16"/>
      <c r="V20" s="16"/>
    </row>
    <row r="21" spans="1:22" ht="13.15" hidden="1" customHeight="1" x14ac:dyDescent="0.25">
      <c r="A21" s="156">
        <v>27</v>
      </c>
      <c r="B21" s="152"/>
      <c r="C21" s="106"/>
      <c r="D21" s="106">
        <v>1</v>
      </c>
      <c r="E21" s="106">
        <v>20</v>
      </c>
      <c r="F21" s="582"/>
      <c r="G21" s="583"/>
      <c r="H21" s="584"/>
      <c r="I21" s="157"/>
      <c r="J21" s="48" t="s">
        <v>20</v>
      </c>
      <c r="K21" s="153"/>
      <c r="L21" s="582"/>
      <c r="M21" s="583"/>
      <c r="N21" s="584"/>
      <c r="O21" s="124">
        <v>1</v>
      </c>
      <c r="P21" s="124">
        <v>20</v>
      </c>
      <c r="Q21" s="107"/>
      <c r="R21" s="106"/>
      <c r="S21" s="165">
        <v>28</v>
      </c>
      <c r="U21" s="16"/>
      <c r="V21" s="16"/>
    </row>
    <row r="22" spans="1:22" ht="13.15" hidden="1" customHeight="1" thickBot="1" x14ac:dyDescent="0.3">
      <c r="A22" s="156">
        <v>29</v>
      </c>
      <c r="B22" s="154"/>
      <c r="C22" s="154"/>
      <c r="D22" s="154">
        <v>1</v>
      </c>
      <c r="E22" s="154">
        <v>20</v>
      </c>
      <c r="F22" s="585"/>
      <c r="G22" s="586"/>
      <c r="H22" s="587"/>
      <c r="I22" s="162"/>
      <c r="J22" s="48" t="s">
        <v>19</v>
      </c>
      <c r="K22" s="166"/>
      <c r="L22" s="582"/>
      <c r="M22" s="583"/>
      <c r="N22" s="584"/>
      <c r="O22" s="154">
        <v>1</v>
      </c>
      <c r="P22" s="154">
        <v>20</v>
      </c>
      <c r="Q22" s="155"/>
      <c r="R22" s="154"/>
      <c r="S22" s="167">
        <v>30</v>
      </c>
      <c r="U22" s="16"/>
      <c r="V22" s="16"/>
    </row>
    <row r="23" spans="1:22" ht="13.15" hidden="1" customHeight="1" x14ac:dyDescent="0.25">
      <c r="A23" s="47">
        <v>31</v>
      </c>
      <c r="B23" s="125"/>
      <c r="C23" s="125"/>
      <c r="D23" s="125">
        <v>1</v>
      </c>
      <c r="E23" s="125">
        <v>20</v>
      </c>
      <c r="F23" s="126"/>
      <c r="G23" s="127"/>
      <c r="H23" s="127"/>
      <c r="I23" s="128"/>
      <c r="J23" s="48" t="s">
        <v>18</v>
      </c>
      <c r="K23" s="129"/>
      <c r="L23" s="134"/>
      <c r="M23" s="135"/>
      <c r="N23" s="136"/>
      <c r="O23" s="125"/>
      <c r="P23" s="125"/>
      <c r="Q23" s="130"/>
      <c r="R23" s="131"/>
      <c r="S23" s="50">
        <v>32</v>
      </c>
      <c r="U23" s="57"/>
      <c r="V23" s="57"/>
    </row>
    <row r="24" spans="1:22" ht="13.15" hidden="1" customHeight="1" x14ac:dyDescent="0.25">
      <c r="A24" s="47">
        <v>33</v>
      </c>
      <c r="B24" s="132"/>
      <c r="C24" s="130"/>
      <c r="D24" s="125">
        <v>1</v>
      </c>
      <c r="E24" s="125">
        <v>20</v>
      </c>
      <c r="F24" s="134"/>
      <c r="G24" s="135"/>
      <c r="H24" s="136"/>
      <c r="I24" s="133"/>
      <c r="J24" s="48" t="s">
        <v>20</v>
      </c>
      <c r="K24" s="129"/>
      <c r="L24" s="573"/>
      <c r="M24" s="574"/>
      <c r="N24" s="575"/>
      <c r="O24" s="125"/>
      <c r="P24" s="125"/>
      <c r="Q24" s="130"/>
      <c r="R24" s="131"/>
      <c r="S24" s="55">
        <v>34</v>
      </c>
      <c r="U24" s="57"/>
      <c r="V24" s="57"/>
    </row>
    <row r="25" spans="1:22" ht="13.15" hidden="1" customHeight="1" x14ac:dyDescent="0.25">
      <c r="A25" s="47">
        <v>35</v>
      </c>
      <c r="B25" s="132"/>
      <c r="C25" s="137"/>
      <c r="D25" s="132">
        <v>1</v>
      </c>
      <c r="E25" s="132">
        <v>20</v>
      </c>
      <c r="F25" s="138"/>
      <c r="G25" s="139"/>
      <c r="H25" s="140"/>
      <c r="I25" s="141"/>
      <c r="J25" s="48" t="s">
        <v>19</v>
      </c>
      <c r="K25" s="129"/>
      <c r="L25" s="134"/>
      <c r="M25" s="135"/>
      <c r="N25" s="136"/>
      <c r="O25" s="131"/>
      <c r="P25" s="131"/>
      <c r="Q25" s="142"/>
      <c r="R25" s="131"/>
      <c r="S25" s="50">
        <v>36</v>
      </c>
      <c r="U25" s="57"/>
      <c r="V25" s="57"/>
    </row>
    <row r="26" spans="1:22" ht="13.15" hidden="1" customHeight="1" x14ac:dyDescent="0.25">
      <c r="A26" s="47">
        <v>37</v>
      </c>
      <c r="B26" s="125"/>
      <c r="C26" s="130"/>
      <c r="D26" s="125">
        <v>1</v>
      </c>
      <c r="E26" s="125">
        <v>20</v>
      </c>
      <c r="F26" s="134"/>
      <c r="G26" s="135"/>
      <c r="H26" s="136"/>
      <c r="I26" s="133"/>
      <c r="J26" s="48" t="s">
        <v>18</v>
      </c>
      <c r="K26" s="143"/>
      <c r="L26" s="134"/>
      <c r="M26" s="135"/>
      <c r="N26" s="136"/>
      <c r="O26" s="131"/>
      <c r="P26" s="131"/>
      <c r="Q26" s="142"/>
      <c r="R26" s="131"/>
      <c r="S26" s="55">
        <v>38</v>
      </c>
      <c r="U26" s="57"/>
      <c r="V26" s="57"/>
    </row>
    <row r="27" spans="1:22" ht="13.15" hidden="1" customHeight="1" x14ac:dyDescent="0.25">
      <c r="A27" s="100">
        <v>39</v>
      </c>
      <c r="B27" s="131"/>
      <c r="C27" s="125"/>
      <c r="D27" s="125">
        <v>1</v>
      </c>
      <c r="E27" s="125">
        <v>20</v>
      </c>
      <c r="F27" s="576"/>
      <c r="G27" s="577"/>
      <c r="H27" s="578"/>
      <c r="I27" s="128"/>
      <c r="J27" s="48" t="s">
        <v>20</v>
      </c>
      <c r="K27" s="143"/>
      <c r="L27" s="134"/>
      <c r="M27" s="135"/>
      <c r="N27" s="136"/>
      <c r="O27" s="131"/>
      <c r="P27" s="131"/>
      <c r="Q27" s="142"/>
      <c r="R27" s="131"/>
      <c r="S27" s="50">
        <v>40</v>
      </c>
      <c r="U27" s="57"/>
      <c r="V27" s="57"/>
    </row>
    <row r="28" spans="1:22" ht="13.15" hidden="1" customHeight="1" thickBot="1" x14ac:dyDescent="0.3">
      <c r="A28" s="101">
        <v>41</v>
      </c>
      <c r="B28" s="144"/>
      <c r="C28" s="145"/>
      <c r="D28" s="145">
        <v>1</v>
      </c>
      <c r="E28" s="145">
        <v>20</v>
      </c>
      <c r="F28" s="579"/>
      <c r="G28" s="580"/>
      <c r="H28" s="581"/>
      <c r="I28" s="146"/>
      <c r="J28" s="58" t="s">
        <v>19</v>
      </c>
      <c r="K28" s="147"/>
      <c r="L28" s="148"/>
      <c r="M28" s="149"/>
      <c r="N28" s="149"/>
      <c r="O28" s="150"/>
      <c r="P28" s="150"/>
      <c r="Q28" s="151"/>
      <c r="R28" s="150"/>
      <c r="S28" s="59">
        <v>42</v>
      </c>
      <c r="U28" s="57"/>
      <c r="V28" s="57"/>
    </row>
    <row r="29" spans="1:22" ht="12.6" customHeight="1" x14ac:dyDescent="0.25">
      <c r="A29" s="112" t="s">
        <v>21</v>
      </c>
      <c r="B29" s="113"/>
      <c r="C29" s="113"/>
      <c r="D29" s="113"/>
      <c r="E29" s="113"/>
      <c r="F29" s="8"/>
      <c r="G29" s="7"/>
      <c r="H29" s="114"/>
      <c r="I29" s="7"/>
      <c r="J29" s="115"/>
      <c r="K29" s="115"/>
      <c r="L29" s="115"/>
      <c r="M29" s="115"/>
      <c r="N29" s="116" t="s">
        <v>22</v>
      </c>
      <c r="O29" s="115"/>
      <c r="P29" s="115"/>
      <c r="Q29" s="115"/>
      <c r="R29" s="115"/>
      <c r="S29" s="117"/>
      <c r="U29" s="57"/>
      <c r="V29" s="57"/>
    </row>
    <row r="30" spans="1:22" ht="13.15" customHeight="1" x14ac:dyDescent="0.25">
      <c r="A30" s="61" t="s">
        <v>23</v>
      </c>
      <c r="B30" s="62"/>
      <c r="C30" s="62"/>
      <c r="F30" s="63">
        <f>SUMIF($J$8:$J$28,"=A",$I$8:$I$28)+SUMIF($J$8:$J$28,"=A",$K$8:$K$28)</f>
        <v>1.464</v>
      </c>
      <c r="G30" s="1" t="s">
        <v>24</v>
      </c>
      <c r="H30" s="64"/>
      <c r="I30" s="17" t="s">
        <v>25</v>
      </c>
      <c r="J30" s="65"/>
      <c r="K30" s="65"/>
      <c r="L30" s="66"/>
      <c r="M30" s="67" t="s">
        <v>26</v>
      </c>
      <c r="N30" s="68" t="s">
        <v>27</v>
      </c>
      <c r="O30" s="12"/>
      <c r="P30" s="67"/>
      <c r="Q30" s="12"/>
      <c r="R30" s="12"/>
      <c r="S30" s="18"/>
      <c r="U30" s="57"/>
      <c r="V30" s="57"/>
    </row>
    <row r="31" spans="1:22" ht="13.15" customHeight="1" x14ac:dyDescent="0.25">
      <c r="A31" s="61" t="s">
        <v>28</v>
      </c>
      <c r="B31" s="62"/>
      <c r="C31" s="62"/>
      <c r="F31" s="69">
        <f>SUMIF($J$8:$J$28,"=B",$I$8:$I$28)+SUMIF($J$8:$J$28,"=B",$K$8:$K$28)</f>
        <v>0.46399999999999997</v>
      </c>
      <c r="G31" s="1" t="s">
        <v>24</v>
      </c>
      <c r="H31" s="64"/>
      <c r="I31" s="62" t="s">
        <v>29</v>
      </c>
      <c r="J31" s="62"/>
      <c r="K31" s="62"/>
      <c r="L31" s="64"/>
      <c r="M31" s="70">
        <f>SUMIF($C$8:$C$28,"=C",$I$8:$I$28)+SUMIF($Q$8:$Q$28,"=C",$K$8:$K$28)</f>
        <v>0</v>
      </c>
      <c r="N31" s="71">
        <v>1.25</v>
      </c>
      <c r="O31" s="72"/>
      <c r="P31" s="73"/>
      <c r="R31" s="74">
        <f>$M31*1.25</f>
        <v>0</v>
      </c>
      <c r="S31" s="75"/>
      <c r="U31" s="57"/>
      <c r="V31" s="57"/>
    </row>
    <row r="32" spans="1:22" ht="13.15" customHeight="1" x14ac:dyDescent="0.25">
      <c r="A32" s="61"/>
      <c r="B32" s="62"/>
      <c r="C32" s="62"/>
      <c r="F32" s="174"/>
      <c r="G32" s="1"/>
      <c r="H32" s="64"/>
      <c r="I32" s="62" t="s">
        <v>31</v>
      </c>
      <c r="J32" s="62"/>
      <c r="K32" s="62"/>
      <c r="L32" s="64"/>
      <c r="M32" s="76">
        <f>SUMIF($C$8:$C$28,"=D",$I$8:$I$28)+SUMIF($Q$8:$Q$28,"=D",$K$8:$K$28)</f>
        <v>1.208</v>
      </c>
      <c r="N32" s="71">
        <v>1</v>
      </c>
      <c r="O32" s="72"/>
      <c r="P32" s="73"/>
      <c r="R32" s="74">
        <f>$M32</f>
        <v>1.208</v>
      </c>
      <c r="S32" s="75"/>
      <c r="U32" s="57"/>
      <c r="V32" s="57"/>
    </row>
    <row r="33" spans="1:22" ht="13.15" customHeight="1" x14ac:dyDescent="0.25">
      <c r="A33" s="61" t="s">
        <v>32</v>
      </c>
      <c r="B33" s="62"/>
      <c r="C33" s="62"/>
      <c r="F33" s="63">
        <f>SUM(F30:F32)</f>
        <v>1.9279999999999999</v>
      </c>
      <c r="G33" s="1" t="s">
        <v>24</v>
      </c>
      <c r="H33" s="64"/>
      <c r="I33" s="62" t="s">
        <v>33</v>
      </c>
      <c r="J33" s="62"/>
      <c r="K33" s="62"/>
      <c r="L33" s="64"/>
      <c r="M33" s="76">
        <f>SUMIF($C$8:$C$28,"=G",$I$8:$I$28)+SUMIF($Q$8:$Q$28,"=G",$K$8:$K$28)</f>
        <v>0.72</v>
      </c>
      <c r="N33" s="77" t="s">
        <v>37</v>
      </c>
      <c r="O33" s="78"/>
      <c r="P33" s="79"/>
      <c r="R33" s="74">
        <f>IF($M33&gt;10,10+($M33-10)*0.5,$M33)</f>
        <v>0.72</v>
      </c>
      <c r="S33" s="75"/>
      <c r="U33" s="57"/>
      <c r="V33" s="57"/>
    </row>
    <row r="34" spans="1:22" ht="14.1" customHeight="1" x14ac:dyDescent="0.25">
      <c r="A34" s="80"/>
      <c r="G34" s="1"/>
      <c r="H34" s="64"/>
      <c r="I34" s="62" t="s">
        <v>34</v>
      </c>
      <c r="J34" s="62"/>
      <c r="K34" s="62"/>
      <c r="L34" s="64"/>
      <c r="M34" s="76">
        <f>SUMIF($C$8:$C$28,"=K",$I$8:$I$28)+SUMIF($Q$8:$Q$28,"=K",$K$8:$K$28)</f>
        <v>0</v>
      </c>
      <c r="N34" s="71">
        <v>0.65</v>
      </c>
      <c r="O34" s="72"/>
      <c r="P34" s="73"/>
      <c r="R34" s="74">
        <f>M34*(U13*U14*U15*U16)</f>
        <v>0</v>
      </c>
      <c r="S34" s="75"/>
      <c r="U34" s="57"/>
      <c r="V34" s="57"/>
    </row>
    <row r="35" spans="1:22" ht="14.1" customHeight="1" x14ac:dyDescent="0.25">
      <c r="A35" s="61"/>
      <c r="G35" s="1"/>
      <c r="H35" s="64"/>
      <c r="I35" s="13" t="s">
        <v>47</v>
      </c>
      <c r="J35" s="13"/>
      <c r="K35" s="13"/>
      <c r="L35" s="81"/>
      <c r="M35" s="82">
        <f>SUM(U9:U10)</f>
        <v>0</v>
      </c>
      <c r="N35" s="83" t="s">
        <v>36</v>
      </c>
      <c r="O35" s="60"/>
      <c r="P35" s="84"/>
      <c r="Q35" s="85"/>
      <c r="R35" s="86">
        <f>U9+U10*1.25</f>
        <v>0</v>
      </c>
      <c r="S35" s="87"/>
      <c r="U35" s="57"/>
      <c r="V35" s="57"/>
    </row>
    <row r="36" spans="1:22" ht="14.1" customHeight="1" thickBot="1" x14ac:dyDescent="0.3">
      <c r="A36" s="61"/>
      <c r="C36" s="62"/>
      <c r="G36" s="1"/>
      <c r="H36" s="62"/>
      <c r="I36" s="62"/>
      <c r="J36" s="62"/>
      <c r="K36" s="62"/>
      <c r="L36" s="62"/>
      <c r="N36" s="2" t="s">
        <v>35</v>
      </c>
      <c r="O36" s="2"/>
      <c r="R36" s="74">
        <f>SUM(Q31:S35)</f>
        <v>1.9279999999999999</v>
      </c>
      <c r="S36" s="75"/>
      <c r="U36" s="57"/>
      <c r="V36" s="57"/>
    </row>
    <row r="37" spans="1:22" ht="14.1" customHeight="1" thickBot="1" x14ac:dyDescent="0.3">
      <c r="A37" s="61"/>
      <c r="C37" s="62"/>
      <c r="H37" s="2"/>
      <c r="I37" s="2"/>
      <c r="N37" s="2" t="s">
        <v>71</v>
      </c>
      <c r="O37" s="2"/>
      <c r="Q37" s="88"/>
      <c r="R37" s="89">
        <f>R36/208*1000</f>
        <v>9.2692307692307701</v>
      </c>
      <c r="S37" s="90"/>
      <c r="U37" s="57"/>
      <c r="V37" s="57"/>
    </row>
    <row r="38" spans="1:22" ht="14.1" customHeight="1" thickBot="1" x14ac:dyDescent="0.3">
      <c r="A38" s="108"/>
      <c r="B38" s="19"/>
      <c r="C38" s="92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19"/>
      <c r="P38" s="19"/>
      <c r="Q38" s="19"/>
      <c r="R38" s="19"/>
      <c r="S38" s="21"/>
      <c r="U38" s="57"/>
      <c r="V38" s="57"/>
    </row>
    <row r="39" spans="1:22" ht="14.1" customHeight="1" x14ac:dyDescent="0.25">
      <c r="H39" s="2"/>
      <c r="I39" s="2"/>
    </row>
    <row r="40" spans="1:22" ht="14.1" customHeight="1" x14ac:dyDescent="0.25">
      <c r="H40" s="2"/>
      <c r="I40" s="2"/>
    </row>
    <row r="41" spans="1:22" ht="14.1" customHeight="1" x14ac:dyDescent="0.25">
      <c r="H41" s="2"/>
      <c r="I41" s="2"/>
    </row>
    <row r="44" spans="1:22" ht="14.1" customHeight="1" x14ac:dyDescent="0.25">
      <c r="A44" s="93"/>
      <c r="B44" s="93"/>
      <c r="C44" s="93"/>
      <c r="D44" s="93"/>
      <c r="E44" s="93"/>
    </row>
  </sheetData>
  <mergeCells count="33">
    <mergeCell ref="F8:H8"/>
    <mergeCell ref="L8:N8"/>
    <mergeCell ref="F9:H9"/>
    <mergeCell ref="L9:N9"/>
    <mergeCell ref="F10:H10"/>
    <mergeCell ref="L10:N10"/>
    <mergeCell ref="F11:H11"/>
    <mergeCell ref="L11:N11"/>
    <mergeCell ref="F12:H12"/>
    <mergeCell ref="L12:N12"/>
    <mergeCell ref="F13:H13"/>
    <mergeCell ref="L13:N13"/>
    <mergeCell ref="F14:H14"/>
    <mergeCell ref="L14:N14"/>
    <mergeCell ref="F15:H15"/>
    <mergeCell ref="L15:N15"/>
    <mergeCell ref="F16:H16"/>
    <mergeCell ref="L16:N16"/>
    <mergeCell ref="F17:H17"/>
    <mergeCell ref="L17:N17"/>
    <mergeCell ref="F18:H18"/>
    <mergeCell ref="L18:N18"/>
    <mergeCell ref="F19:H19"/>
    <mergeCell ref="L19:N19"/>
    <mergeCell ref="L24:N24"/>
    <mergeCell ref="F27:H27"/>
    <mergeCell ref="F28:H28"/>
    <mergeCell ref="F20:H20"/>
    <mergeCell ref="L20:N20"/>
    <mergeCell ref="F21:H21"/>
    <mergeCell ref="L21:N21"/>
    <mergeCell ref="F22:H22"/>
    <mergeCell ref="L22:N22"/>
  </mergeCells>
  <pageMargins left="0.5" right="0.5" top="0.5" bottom="0.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HPT</vt:lpstr>
      <vt:lpstr>A (2)</vt:lpstr>
      <vt:lpstr>TEMPLATE</vt:lpstr>
      <vt:lpstr>_NOTES</vt:lpstr>
      <vt:lpstr>Ax</vt:lpstr>
      <vt:lpstr>Bx</vt:lpstr>
      <vt:lpstr>L109C_NOTUSED</vt:lpstr>
    </vt:vector>
  </TitlesOfParts>
  <Company>ACIES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Jacob Husband</cp:lastModifiedBy>
  <cp:lastPrinted>2022-04-25T18:25:43Z</cp:lastPrinted>
  <dcterms:created xsi:type="dcterms:W3CDTF">2002-01-30T16:56:01Z</dcterms:created>
  <dcterms:modified xsi:type="dcterms:W3CDTF">2026-05-20T16:32:09Z</dcterms:modified>
</cp:coreProperties>
</file>